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98\EXCELCNV\4e5446ff-8dd1-4ebe-8d85-c1bbb9b6f18b\"/>
    </mc:Choice>
  </mc:AlternateContent>
  <xr:revisionPtr revIDLastSave="0" documentId="8_{21D73E3F-20F8-4932-ACBC-D5D1B0C0E9F8}" xr6:coauthVersionLast="47" xr6:coauthVersionMax="47" xr10:uidLastSave="{00000000-0000-0000-0000-000000000000}"/>
  <bookViews>
    <workbookView xWindow="-60" yWindow="-60" windowWidth="15480" windowHeight="11640" firstSheet="1" activeTab="2" xr2:uid="{E8AA8A27-0AD8-4B78-AE65-5C164B87557D}"/>
  </bookViews>
  <sheets>
    <sheet name="Student_Data" sheetId="1" r:id="rId1"/>
    <sheet name="Analysis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D5" i="3"/>
  <c r="B5" i="3"/>
  <c r="H3" i="3"/>
  <c r="F3" i="3"/>
  <c r="D3" i="3"/>
  <c r="B3" i="3"/>
  <c r="I23" i="2" a="1"/>
  <c r="I23" i="2"/>
  <c r="I44" i="2"/>
  <c r="I43" i="2"/>
  <c r="I42" i="2"/>
  <c r="I41" i="2"/>
  <c r="Q11" i="2" a="1"/>
  <c r="M11" i="2" a="1"/>
  <c r="M11" i="2"/>
  <c r="I8" i="2"/>
  <c r="I7" i="2"/>
  <c r="I6" i="2"/>
  <c r="I5" i="2"/>
  <c r="I4" i="2"/>
  <c r="I3" i="2"/>
  <c r="F17" i="2"/>
  <c r="F18" i="2"/>
  <c r="E18" i="2"/>
  <c r="E17" i="2"/>
  <c r="F13" i="2"/>
  <c r="F12" i="2"/>
  <c r="F11" i="2"/>
  <c r="E13" i="2"/>
  <c r="E12" i="2"/>
  <c r="E11" i="2"/>
  <c r="B4" i="2"/>
  <c r="B5" i="2"/>
  <c r="E6" i="2"/>
  <c r="E5" i="2"/>
  <c r="E4" i="2"/>
  <c r="E3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B8" i="2"/>
  <c r="B7" i="2"/>
  <c r="B6" i="2"/>
  <c r="B3" i="2"/>
  <c r="B2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" i="1"/>
  <c r="K24" i="2" l="1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Q11" i="2"/>
  <c r="K23" i="2" a="1"/>
  <c r="K23" i="2" s="1"/>
  <c r="J23" i="2" a="1"/>
  <c r="J23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K11" i="2" a="1"/>
  <c r="K11" i="2" s="1"/>
  <c r="J11" i="2" a="1"/>
  <c r="J11" i="2" s="1"/>
  <c r="I11" i="2" a="1"/>
  <c r="I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<sst xmlns="http://schemas.openxmlformats.org/spreadsheetml/2006/main" count="822" uniqueCount="293">
  <si>
    <t>id</t>
  </si>
  <si>
    <t>Name</t>
  </si>
  <si>
    <t>Gender</t>
  </si>
  <si>
    <t>Age</t>
  </si>
  <si>
    <t>Section</t>
  </si>
  <si>
    <t>Science</t>
  </si>
  <si>
    <t>English</t>
  </si>
  <si>
    <t>History</t>
  </si>
  <si>
    <t>Maths</t>
  </si>
  <si>
    <t>Total Marks</t>
  </si>
  <si>
    <t>Average marks</t>
  </si>
  <si>
    <t>Percentage</t>
  </si>
  <si>
    <t>Grade</t>
  </si>
  <si>
    <t>Result</t>
  </si>
  <si>
    <t>Performance</t>
  </si>
  <si>
    <t>Bronnie</t>
  </si>
  <si>
    <t>Female</t>
  </si>
  <si>
    <t>C</t>
  </si>
  <si>
    <t>Lemmie</t>
  </si>
  <si>
    <t>Male</t>
  </si>
  <si>
    <t>B</t>
  </si>
  <si>
    <t>Danya</t>
  </si>
  <si>
    <t>Denna</t>
  </si>
  <si>
    <t>Jocelin</t>
  </si>
  <si>
    <t>A</t>
  </si>
  <si>
    <t>Malissa</t>
  </si>
  <si>
    <t>Ichabod</t>
  </si>
  <si>
    <t>Beverlie</t>
  </si>
  <si>
    <t>Corrine</t>
  </si>
  <si>
    <t>Tate</t>
  </si>
  <si>
    <t>Dunn</t>
  </si>
  <si>
    <t>Valaria</t>
  </si>
  <si>
    <t>Merrick</t>
  </si>
  <si>
    <t>Gracie</t>
  </si>
  <si>
    <t>Missy</t>
  </si>
  <si>
    <t>Gilberta</t>
  </si>
  <si>
    <t>Peggy</t>
  </si>
  <si>
    <t>Dory</t>
  </si>
  <si>
    <t>Opalina</t>
  </si>
  <si>
    <t>Ashlan</t>
  </si>
  <si>
    <t>Amery</t>
  </si>
  <si>
    <t>Benoite</t>
  </si>
  <si>
    <t>Merle</t>
  </si>
  <si>
    <t>Valma</t>
  </si>
  <si>
    <t>Jone</t>
  </si>
  <si>
    <t>Rae</t>
  </si>
  <si>
    <t>Charmine</t>
  </si>
  <si>
    <t>Hanan</t>
  </si>
  <si>
    <t>Adrian</t>
  </si>
  <si>
    <t>Livia</t>
  </si>
  <si>
    <t>Richie</t>
  </si>
  <si>
    <t>Ekaterina</t>
  </si>
  <si>
    <t>Tamra</t>
  </si>
  <si>
    <t>Zarla</t>
  </si>
  <si>
    <t>Tommy</t>
  </si>
  <si>
    <t>Anna-diane</t>
  </si>
  <si>
    <t>Josh</t>
  </si>
  <si>
    <t>Claudina</t>
  </si>
  <si>
    <t>Adah</t>
  </si>
  <si>
    <t>Luelle</t>
  </si>
  <si>
    <t>Johannes</t>
  </si>
  <si>
    <t>Hetty</t>
  </si>
  <si>
    <t>Brandie</t>
  </si>
  <si>
    <t>Arvie</t>
  </si>
  <si>
    <t>Jacenta</t>
  </si>
  <si>
    <t>Teddy</t>
  </si>
  <si>
    <t>Everett</t>
  </si>
  <si>
    <t>Lyda</t>
  </si>
  <si>
    <t>Vinny</t>
  </si>
  <si>
    <t>Karrie</t>
  </si>
  <si>
    <t>Skipp</t>
  </si>
  <si>
    <t>Rollie</t>
  </si>
  <si>
    <t>Ruben</t>
  </si>
  <si>
    <t>Tabbie</t>
  </si>
  <si>
    <t>Lief</t>
  </si>
  <si>
    <t>Olenka</t>
  </si>
  <si>
    <t>Hinze</t>
  </si>
  <si>
    <t>Issie</t>
  </si>
  <si>
    <t>Yardley</t>
  </si>
  <si>
    <t>Winslow</t>
  </si>
  <si>
    <t>Bobbee</t>
  </si>
  <si>
    <t>Fanny</t>
  </si>
  <si>
    <t>Massimiliano</t>
  </si>
  <si>
    <t>Shannon</t>
  </si>
  <si>
    <t>Mufi</t>
  </si>
  <si>
    <t>Christan</t>
  </si>
  <si>
    <t>Orrin</t>
  </si>
  <si>
    <t>Drusi</t>
  </si>
  <si>
    <t>Nil</t>
  </si>
  <si>
    <t>Jessamine</t>
  </si>
  <si>
    <t>Bil</t>
  </si>
  <si>
    <t>Jaymie</t>
  </si>
  <si>
    <t>Lorrie</t>
  </si>
  <si>
    <t>Bethena</t>
  </si>
  <si>
    <t>Sascha</t>
  </si>
  <si>
    <t>Cherie</t>
  </si>
  <si>
    <t>David</t>
  </si>
  <si>
    <t>Jody</t>
  </si>
  <si>
    <t>Rosalynd</t>
  </si>
  <si>
    <t>Elton</t>
  </si>
  <si>
    <t>Teresita</t>
  </si>
  <si>
    <t>Dannel</t>
  </si>
  <si>
    <t>Amabel</t>
  </si>
  <si>
    <t>Eugine</t>
  </si>
  <si>
    <t>Brien</t>
  </si>
  <si>
    <t>Agace</t>
  </si>
  <si>
    <t>Aubrey</t>
  </si>
  <si>
    <t>Sheffie</t>
  </si>
  <si>
    <t>Ranee</t>
  </si>
  <si>
    <t>Cobby</t>
  </si>
  <si>
    <t>Linn</t>
  </si>
  <si>
    <t>Daffi</t>
  </si>
  <si>
    <t>Morganne</t>
  </si>
  <si>
    <t>Dael</t>
  </si>
  <si>
    <t>Ario</t>
  </si>
  <si>
    <t>Georgia</t>
  </si>
  <si>
    <t>Adolphus</t>
  </si>
  <si>
    <t>Silvia</t>
  </si>
  <si>
    <t>Brendin</t>
  </si>
  <si>
    <t>Loella</t>
  </si>
  <si>
    <t>Hildegaard</t>
  </si>
  <si>
    <t>Alvin</t>
  </si>
  <si>
    <t>Christoph</t>
  </si>
  <si>
    <t>Woodie</t>
  </si>
  <si>
    <t>Jeannie</t>
  </si>
  <si>
    <t>Jocelyne</t>
  </si>
  <si>
    <t>Rina</t>
  </si>
  <si>
    <t>Virgie</t>
  </si>
  <si>
    <t>Vaughn</t>
  </si>
  <si>
    <t>Cherry</t>
  </si>
  <si>
    <t>Abel</t>
  </si>
  <si>
    <t>Matt</t>
  </si>
  <si>
    <t>Josefa</t>
  </si>
  <si>
    <t>Coretta</t>
  </si>
  <si>
    <t>Chris</t>
  </si>
  <si>
    <t>Shanie</t>
  </si>
  <si>
    <t>Kath</t>
  </si>
  <si>
    <t>Bent</t>
  </si>
  <si>
    <t>Aretha</t>
  </si>
  <si>
    <t>Alyse</t>
  </si>
  <si>
    <t>Patrizia</t>
  </si>
  <si>
    <t>Gloria</t>
  </si>
  <si>
    <t>Brandise</t>
  </si>
  <si>
    <t>Orin</t>
  </si>
  <si>
    <t>Fredric</t>
  </si>
  <si>
    <t>Pat</t>
  </si>
  <si>
    <t>Bennie</t>
  </si>
  <si>
    <t>Starlin</t>
  </si>
  <si>
    <t>Susy</t>
  </si>
  <si>
    <t>Eadmund</t>
  </si>
  <si>
    <t>Blisse</t>
  </si>
  <si>
    <t>Tymothy</t>
  </si>
  <si>
    <t>Lindsay</t>
  </si>
  <si>
    <t>Jehanna</t>
  </si>
  <si>
    <t>Humfrid</t>
  </si>
  <si>
    <t>Hector</t>
  </si>
  <si>
    <t>Ailene</t>
  </si>
  <si>
    <t>Berget</t>
  </si>
  <si>
    <t>Bevan</t>
  </si>
  <si>
    <t>Ricky</t>
  </si>
  <si>
    <t>Isidora</t>
  </si>
  <si>
    <t>Emmanuel</t>
  </si>
  <si>
    <t>Cristian</t>
  </si>
  <si>
    <t>Guido</t>
  </si>
  <si>
    <t>Alis</t>
  </si>
  <si>
    <t>Jaquenette</t>
  </si>
  <si>
    <t>Danni</t>
  </si>
  <si>
    <t>Adrianne</t>
  </si>
  <si>
    <t>Inger</t>
  </si>
  <si>
    <t>Herold</t>
  </si>
  <si>
    <t>Candide</t>
  </si>
  <si>
    <t>Susi</t>
  </si>
  <si>
    <t>Milo</t>
  </si>
  <si>
    <t>Emlyn</t>
  </si>
  <si>
    <t>Sarah</t>
  </si>
  <si>
    <t>Paten</t>
  </si>
  <si>
    <t>Aldin</t>
  </si>
  <si>
    <t>Reagan</t>
  </si>
  <si>
    <t>Patty</t>
  </si>
  <si>
    <t>Barde</t>
  </si>
  <si>
    <t>Pepi</t>
  </si>
  <si>
    <t>Page</t>
  </si>
  <si>
    <t>Alard</t>
  </si>
  <si>
    <t>Fidelia</t>
  </si>
  <si>
    <t>Hali</t>
  </si>
  <si>
    <t>Keeley</t>
  </si>
  <si>
    <t>Ilaire</t>
  </si>
  <si>
    <t>Ermina</t>
  </si>
  <si>
    <t>Fran</t>
  </si>
  <si>
    <t>Desmund</t>
  </si>
  <si>
    <t>Rosamond</t>
  </si>
  <si>
    <t>Margaux</t>
  </si>
  <si>
    <t>Shalom</t>
  </si>
  <si>
    <t>Ivan</t>
  </si>
  <si>
    <t>Guntar</t>
  </si>
  <si>
    <t>Moselle</t>
  </si>
  <si>
    <t>Val</t>
  </si>
  <si>
    <t>Amber</t>
  </si>
  <si>
    <t>Davidde</t>
  </si>
  <si>
    <t>Richard</t>
  </si>
  <si>
    <t>Sebastian</t>
  </si>
  <si>
    <t>Billie</t>
  </si>
  <si>
    <t>Purcell</t>
  </si>
  <si>
    <t>Alaine</t>
  </si>
  <si>
    <t>Goldarina</t>
  </si>
  <si>
    <t>Ruperto</t>
  </si>
  <si>
    <t>Oberon</t>
  </si>
  <si>
    <t>Ezekiel</t>
  </si>
  <si>
    <t>Estel</t>
  </si>
  <si>
    <t>Jayme</t>
  </si>
  <si>
    <t>Hebert</t>
  </si>
  <si>
    <t>Olivia</t>
  </si>
  <si>
    <t>Darya</t>
  </si>
  <si>
    <t>Nita</t>
  </si>
  <si>
    <t>Elbertina</t>
  </si>
  <si>
    <t>Carol</t>
  </si>
  <si>
    <t>Codi</t>
  </si>
  <si>
    <t>Ruddie</t>
  </si>
  <si>
    <t>Baudoin</t>
  </si>
  <si>
    <t>Norri</t>
  </si>
  <si>
    <t>Nealon</t>
  </si>
  <si>
    <t>Willem</t>
  </si>
  <si>
    <t>Rosalyn</t>
  </si>
  <si>
    <t>Fannie</t>
  </si>
  <si>
    <t>Davis</t>
  </si>
  <si>
    <t>Zenia</t>
  </si>
  <si>
    <t>Alasteir</t>
  </si>
  <si>
    <t>Vivyan</t>
  </si>
  <si>
    <t>Reg</t>
  </si>
  <si>
    <t>Evangelin</t>
  </si>
  <si>
    <t>Tucky</t>
  </si>
  <si>
    <t>Betteann</t>
  </si>
  <si>
    <t>Elyn</t>
  </si>
  <si>
    <t>Kirk</t>
  </si>
  <si>
    <t>Zack</t>
  </si>
  <si>
    <t>Buffy</t>
  </si>
  <si>
    <t>Tammy</t>
  </si>
  <si>
    <t>Ericka</t>
  </si>
  <si>
    <t>Natty</t>
  </si>
  <si>
    <t>Leda</t>
  </si>
  <si>
    <t>Tabbi</t>
  </si>
  <si>
    <t>Romonda</t>
  </si>
  <si>
    <t>Blake</t>
  </si>
  <si>
    <t>Josepha</t>
  </si>
  <si>
    <t>Maureene</t>
  </si>
  <si>
    <t>Ginnifer</t>
  </si>
  <si>
    <t>Kent</t>
  </si>
  <si>
    <t>Stillman</t>
  </si>
  <si>
    <t>Maude</t>
  </si>
  <si>
    <t>Alysa</t>
  </si>
  <si>
    <t>Mortimer</t>
  </si>
  <si>
    <t>Fleming</t>
  </si>
  <si>
    <t>Nadia</t>
  </si>
  <si>
    <t>Britt</t>
  </si>
  <si>
    <t>Lazar</t>
  </si>
  <si>
    <t>Ashlin</t>
  </si>
  <si>
    <t>Raimund</t>
  </si>
  <si>
    <t>Claudell</t>
  </si>
  <si>
    <t>Janey</t>
  </si>
  <si>
    <t>Morrie</t>
  </si>
  <si>
    <t>Domingo</t>
  </si>
  <si>
    <t>Jesselyn</t>
  </si>
  <si>
    <t>Nickie</t>
  </si>
  <si>
    <t>Rog</t>
  </si>
  <si>
    <t>Kaia</t>
  </si>
  <si>
    <t>Anni</t>
  </si>
  <si>
    <t>Fernande</t>
  </si>
  <si>
    <t>STUDENT PERFORMANCE ANALYSIS</t>
  </si>
  <si>
    <t>Subject Performance Analysis</t>
  </si>
  <si>
    <t>Grade Distribution</t>
  </si>
  <si>
    <t>Total Students</t>
  </si>
  <si>
    <t>Subject</t>
  </si>
  <si>
    <t>Average Marks</t>
  </si>
  <si>
    <t xml:space="preserve">Grade </t>
  </si>
  <si>
    <t>Students</t>
  </si>
  <si>
    <t>Average Percentage</t>
  </si>
  <si>
    <t>A+</t>
  </si>
  <si>
    <t>Pass Rate</t>
  </si>
  <si>
    <t>Highest Percentage</t>
  </si>
  <si>
    <t>Lowest Percentage</t>
  </si>
  <si>
    <t>Excellent Students</t>
  </si>
  <si>
    <t>D</t>
  </si>
  <si>
    <t>At Risk Students</t>
  </si>
  <si>
    <t>F</t>
  </si>
  <si>
    <t>Number of Students</t>
  </si>
  <si>
    <t>Rank</t>
  </si>
  <si>
    <t>Student name</t>
  </si>
  <si>
    <t>students</t>
  </si>
  <si>
    <t>Excellent</t>
  </si>
  <si>
    <t>Good</t>
  </si>
  <si>
    <t>Needs Improvement</t>
  </si>
  <si>
    <t>At Risk</t>
  </si>
  <si>
    <t>STUDENT PERFORMANCE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</si>
</sst>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 Light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16" fillId="0" borderId="0" xfId="0" applyFont="1"/>
    <xf numFmtId="9" fontId="0" fillId="0" borderId="0" xfId="0" applyNumberFormat="1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10" xfId="0" applyBorder="1"/>
    <xf numFmtId="0" fontId="16" fillId="0" borderId="12" xfId="0" applyFont="1" applyBorder="1"/>
    <xf numFmtId="10" fontId="16" fillId="0" borderId="12" xfId="0" applyNumberFormat="1" applyFont="1" applyBorder="1"/>
    <xf numFmtId="9" fontId="16" fillId="0" borderId="12" xfId="0" applyNumberFormat="1" applyFont="1" applyBorder="1"/>
    <xf numFmtId="0" fontId="16" fillId="0" borderId="11" xfId="0" applyFont="1" applyBorder="1"/>
    <xf numFmtId="10" fontId="16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Marks by Subject</a:t>
            </a:r>
          </a:p>
        </c:rich>
      </c:tx>
      <c:layout>
        <c:manualLayout>
          <c:xMode val="edge"/>
          <c:yMode val="edge"/>
          <c:x val="0.24090470697510466"/>
          <c:y val="3.3152660567579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Analysis!$D$3:$D$6</c:f>
              <c:strCache>
                <c:ptCount val="4"/>
                <c:pt idx="0">
                  <c:v>Science</c:v>
                </c:pt>
                <c:pt idx="1">
                  <c:v>English</c:v>
                </c:pt>
                <c:pt idx="2">
                  <c:v>History</c:v>
                </c:pt>
                <c:pt idx="3">
                  <c:v>Maths</c:v>
                </c:pt>
              </c:strCache>
            </c:strRef>
          </c:cat>
          <c:val>
            <c:numRef>
              <c:f>Analysis!$E$3:$E$6</c:f>
              <c:numCache>
                <c:formatCode>General</c:formatCode>
                <c:ptCount val="4"/>
                <c:pt idx="0">
                  <c:v>51.44</c:v>
                </c:pt>
                <c:pt idx="1">
                  <c:v>47.98</c:v>
                </c:pt>
                <c:pt idx="2">
                  <c:v>47.98</c:v>
                </c:pt>
                <c:pt idx="3">
                  <c:v>52.271999999999998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A-4827-BE44-1C14D1F06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884231"/>
        <c:axId val="1528886279"/>
      </c:barChart>
      <c:catAx>
        <c:axId val="152888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86279"/>
        <c:crosses val="autoZero"/>
        <c:auto val="1"/>
        <c:lblAlgn val="ctr"/>
        <c:lblOffset val="100"/>
        <c:noMultiLvlLbl val="0"/>
      </c:catAx>
      <c:valAx>
        <c:axId val="152888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8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Analysis!$I$2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A8-4A2A-A61E-A4D21771C9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A8-4A2A-A61E-A4D21771C9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A8-4A2A-A61E-A4D21771C9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A8-4A2A-A61E-A4D21771C9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A8-4A2A-A61E-A4D21771C9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A8-4A2A-A61E-A4D21771C958}"/>
              </c:ext>
            </c:extLst>
          </c:dPt>
          <c:cat>
            <c:strRef>
              <c:f>Analysis!$H$3:$H$8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Analysis!$I$3:$I$8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17</c:v>
                </c:pt>
                <c:pt idx="3">
                  <c:v>49</c:v>
                </c:pt>
                <c:pt idx="4">
                  <c:v>57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C-475F-89CE-2A11C47AB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by Section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Analysis!$F$10</c:f>
              <c:strCache>
                <c:ptCount val="1"/>
                <c:pt idx="0">
                  <c:v>Average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Analysis!$D$11:$D$13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Analysis!$F$11:$F$13</c:f>
              <c:numCache>
                <c:formatCode>0%</c:formatCode>
                <c:ptCount val="3"/>
                <c:pt idx="0">
                  <c:v>0.52063291139240486</c:v>
                </c:pt>
                <c:pt idx="1">
                  <c:v>0.52063291139240486</c:v>
                </c:pt>
                <c:pt idx="2">
                  <c:v>0.5249050632911394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9-45A4-8F9F-7A1B3829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577095"/>
        <c:axId val="1095583239"/>
      </c:barChart>
      <c:catAx>
        <c:axId val="109557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83239"/>
        <c:crosses val="autoZero"/>
        <c:auto val="1"/>
        <c:lblAlgn val="ctr"/>
        <c:lblOffset val="100"/>
        <c:noMultiLvlLbl val="0"/>
      </c:catAx>
      <c:valAx>
        <c:axId val="109558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7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Categories</a:t>
            </a:r>
          </a:p>
        </c:rich>
      </c:tx>
      <c:layout>
        <c:manualLayout>
          <c:xMode val="edge"/>
          <c:yMode val="edge"/>
          <c:x val="0.19801379735617136"/>
          <c:y val="4.9015273372293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Analysis!$I$40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Analysis!$H$41:$H$44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Needs Improvement</c:v>
                </c:pt>
                <c:pt idx="3">
                  <c:v>At Risk</c:v>
                </c:pt>
              </c:strCache>
            </c:strRef>
          </c:cat>
          <c:val>
            <c:numRef>
              <c:f>Analysis!$I$41:$I$44</c:f>
              <c:numCache>
                <c:formatCode>General</c:formatCode>
                <c:ptCount val="4"/>
                <c:pt idx="0">
                  <c:v>4</c:v>
                </c:pt>
                <c:pt idx="1">
                  <c:v>20</c:v>
                </c:pt>
                <c:pt idx="2">
                  <c:v>106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3-485F-BD68-BF33A50AD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150023"/>
        <c:axId val="1096152071"/>
      </c:barChart>
      <c:catAx>
        <c:axId val="109615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52071"/>
        <c:crosses val="autoZero"/>
        <c:auto val="1"/>
        <c:lblAlgn val="ctr"/>
        <c:lblOffset val="100"/>
        <c:noMultiLvlLbl val="0"/>
      </c:catAx>
      <c:valAx>
        <c:axId val="1096152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5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Student Performers</a:t>
            </a:r>
          </a:p>
        </c:rich>
      </c:tx>
      <c:layout>
        <c:manualLayout>
          <c:xMode val="edge"/>
          <c:yMode val="edge"/>
          <c:x val="0.18105894536906531"/>
          <c:y val="3.0527987425240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Analysis!$K$22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Analysis!$I$23:$I$32</c:f>
              <c:strCache>
                <c:ptCount val="10"/>
                <c:pt idx="0">
                  <c:v>Ginnifer</c:v>
                </c:pt>
                <c:pt idx="1">
                  <c:v>Ashlan</c:v>
                </c:pt>
                <c:pt idx="2">
                  <c:v>Blake</c:v>
                </c:pt>
                <c:pt idx="3">
                  <c:v>Jocelin</c:v>
                </c:pt>
                <c:pt idx="4">
                  <c:v>Berget</c:v>
                </c:pt>
                <c:pt idx="5">
                  <c:v>Josepha</c:v>
                </c:pt>
                <c:pt idx="6">
                  <c:v>Nickie</c:v>
                </c:pt>
                <c:pt idx="7">
                  <c:v>Alasteir</c:v>
                </c:pt>
                <c:pt idx="8">
                  <c:v>Jesselyn</c:v>
                </c:pt>
                <c:pt idx="9">
                  <c:v>Raimund</c:v>
                </c:pt>
              </c:strCache>
            </c:strRef>
          </c:cat>
          <c:val>
            <c:numRef>
              <c:f>Analysis!$K$23:$K$32</c:f>
              <c:numCache>
                <c:formatCode>0%</c:formatCode>
                <c:ptCount val="10"/>
                <c:pt idx="0">
                  <c:v>0.14249999999999999</c:v>
                </c:pt>
                <c:pt idx="1">
                  <c:v>0.16750000000000001</c:v>
                </c:pt>
                <c:pt idx="2">
                  <c:v>0.17499999999999999</c:v>
                </c:pt>
                <c:pt idx="3">
                  <c:v>0.1825</c:v>
                </c:pt>
                <c:pt idx="4">
                  <c:v>0.1825</c:v>
                </c:pt>
                <c:pt idx="5">
                  <c:v>0.1925</c:v>
                </c:pt>
                <c:pt idx="6">
                  <c:v>0.19500000000000001</c:v>
                </c:pt>
                <c:pt idx="7">
                  <c:v>0.2225</c:v>
                </c:pt>
                <c:pt idx="8">
                  <c:v>0.23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7-463D-A851-2321516AC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7682439"/>
        <c:axId val="977684487"/>
      </c:barChart>
      <c:catAx>
        <c:axId val="977682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84487"/>
        <c:crosses val="autoZero"/>
        <c:auto val="1"/>
        <c:lblAlgn val="ctr"/>
        <c:lblOffset val="100"/>
        <c:noMultiLvlLbl val="0"/>
      </c:catAx>
      <c:valAx>
        <c:axId val="977684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8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Student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Analysis!$K$10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Analysis!$I$11:$I$20</c:f>
              <c:strCache>
                <c:ptCount val="10"/>
                <c:pt idx="0">
                  <c:v>Dunn</c:v>
                </c:pt>
                <c:pt idx="1">
                  <c:v>Patrizia</c:v>
                </c:pt>
                <c:pt idx="2">
                  <c:v>Nil</c:v>
                </c:pt>
                <c:pt idx="3">
                  <c:v>Daffi</c:v>
                </c:pt>
                <c:pt idx="4">
                  <c:v>Ruddie</c:v>
                </c:pt>
                <c:pt idx="5">
                  <c:v>Herold</c:v>
                </c:pt>
                <c:pt idx="6">
                  <c:v>Val</c:v>
                </c:pt>
                <c:pt idx="7">
                  <c:v>Luelle</c:v>
                </c:pt>
                <c:pt idx="8">
                  <c:v>Leda</c:v>
                </c:pt>
                <c:pt idx="9">
                  <c:v>Malissa</c:v>
                </c:pt>
              </c:strCache>
            </c:strRef>
          </c:cat>
          <c:val>
            <c:numRef>
              <c:f>Analysis!$K$11:$K$20</c:f>
              <c:numCache>
                <c:formatCode>0%</c:formatCode>
                <c:ptCount val="10"/>
                <c:pt idx="0">
                  <c:v>0.90249999999999997</c:v>
                </c:pt>
                <c:pt idx="1">
                  <c:v>0.89</c:v>
                </c:pt>
                <c:pt idx="2">
                  <c:v>0.86750000000000005</c:v>
                </c:pt>
                <c:pt idx="3">
                  <c:v>0.85250000000000004</c:v>
                </c:pt>
                <c:pt idx="4">
                  <c:v>0.83250000000000002</c:v>
                </c:pt>
                <c:pt idx="5">
                  <c:v>0.8</c:v>
                </c:pt>
                <c:pt idx="6">
                  <c:v>0.8</c:v>
                </c:pt>
                <c:pt idx="7">
                  <c:v>0.79249999999999998</c:v>
                </c:pt>
                <c:pt idx="8">
                  <c:v>0.77749999999999997</c:v>
                </c:pt>
                <c:pt idx="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6-45D7-9117-E8DF3984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847623"/>
        <c:axId val="1636849671"/>
      </c:barChart>
      <c:catAx>
        <c:axId val="163684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49671"/>
        <c:crosses val="autoZero"/>
        <c:auto val="1"/>
        <c:lblAlgn val="ctr"/>
        <c:lblOffset val="100"/>
        <c:noMultiLvlLbl val="0"/>
      </c:catAx>
      <c:valAx>
        <c:axId val="163684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4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Marks by Subject</a:t>
            </a:r>
          </a:p>
        </c:rich>
      </c:tx>
      <c:layout>
        <c:manualLayout>
          <c:xMode val="edge"/>
          <c:yMode val="edge"/>
          <c:x val="0.24090470697510466"/>
          <c:y val="3.3152660567579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Analysis!$D$3:$D$6</c:f>
              <c:strCache>
                <c:ptCount val="4"/>
                <c:pt idx="0">
                  <c:v>Science</c:v>
                </c:pt>
                <c:pt idx="1">
                  <c:v>English</c:v>
                </c:pt>
                <c:pt idx="2">
                  <c:v>History</c:v>
                </c:pt>
                <c:pt idx="3">
                  <c:v>Maths</c:v>
                </c:pt>
              </c:strCache>
            </c:strRef>
          </c:cat>
          <c:val>
            <c:numRef>
              <c:f>Analysis!$E$3:$E$6</c:f>
              <c:numCache>
                <c:formatCode>General</c:formatCode>
                <c:ptCount val="4"/>
                <c:pt idx="0">
                  <c:v>51.44</c:v>
                </c:pt>
                <c:pt idx="1">
                  <c:v>47.98</c:v>
                </c:pt>
                <c:pt idx="2">
                  <c:v>47.98</c:v>
                </c:pt>
                <c:pt idx="3">
                  <c:v>52.271999999999998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A-4AE3-9C45-A98897CCF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884231"/>
        <c:axId val="1528886279"/>
      </c:barChart>
      <c:catAx>
        <c:axId val="152888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86279"/>
        <c:crosses val="autoZero"/>
        <c:auto val="1"/>
        <c:lblAlgn val="ctr"/>
        <c:lblOffset val="100"/>
        <c:noMultiLvlLbl val="0"/>
      </c:catAx>
      <c:valAx>
        <c:axId val="152888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8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Analysis!$I$2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62-4F69-B806-83795F34B6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62-4F69-B806-83795F34B6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62-4F69-B806-83795F34B6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62-4F69-B806-83795F34B6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62-4F69-B806-83795F34B6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62-4F69-B806-83795F34B649}"/>
              </c:ext>
            </c:extLst>
          </c:dPt>
          <c:cat>
            <c:strRef>
              <c:f>Analysis!$H$3:$H$8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Analysis!$I$3:$I$8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17</c:v>
                </c:pt>
                <c:pt idx="3">
                  <c:v>49</c:v>
                </c:pt>
                <c:pt idx="4">
                  <c:v>57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62-4F69-B806-83795F34B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by Section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Analysis!$F$10</c:f>
              <c:strCache>
                <c:ptCount val="1"/>
                <c:pt idx="0">
                  <c:v>Average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Analysis!$D$11:$D$13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Analysis!$F$11:$F$13</c:f>
              <c:numCache>
                <c:formatCode>0%</c:formatCode>
                <c:ptCount val="3"/>
                <c:pt idx="0">
                  <c:v>0.52063291139240486</c:v>
                </c:pt>
                <c:pt idx="1">
                  <c:v>0.52063291139240486</c:v>
                </c:pt>
                <c:pt idx="2">
                  <c:v>0.5249050632911394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C-40F9-98CD-5EFF019CE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577095"/>
        <c:axId val="1095583239"/>
      </c:barChart>
      <c:catAx>
        <c:axId val="109557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83239"/>
        <c:crosses val="autoZero"/>
        <c:auto val="1"/>
        <c:lblAlgn val="ctr"/>
        <c:lblOffset val="100"/>
        <c:noMultiLvlLbl val="0"/>
      </c:catAx>
      <c:valAx>
        <c:axId val="109558323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7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Categories</a:t>
            </a:r>
          </a:p>
        </c:rich>
      </c:tx>
      <c:layout>
        <c:manualLayout>
          <c:xMode val="edge"/>
          <c:yMode val="edge"/>
          <c:x val="0.19801379735617136"/>
          <c:y val="4.9015273372293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Analysis!$I$40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Analysis!$H$41:$H$44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Needs Improvement</c:v>
                </c:pt>
                <c:pt idx="3">
                  <c:v>At Risk</c:v>
                </c:pt>
              </c:strCache>
            </c:strRef>
          </c:cat>
          <c:val>
            <c:numRef>
              <c:f>Analysis!$I$41:$I$44</c:f>
              <c:numCache>
                <c:formatCode>General</c:formatCode>
                <c:ptCount val="4"/>
                <c:pt idx="0">
                  <c:v>4</c:v>
                </c:pt>
                <c:pt idx="1">
                  <c:v>20</c:v>
                </c:pt>
                <c:pt idx="2">
                  <c:v>106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0-4B0F-811C-B5D1F894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150023"/>
        <c:axId val="1096152071"/>
      </c:barChart>
      <c:catAx>
        <c:axId val="109615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52071"/>
        <c:crosses val="autoZero"/>
        <c:auto val="1"/>
        <c:lblAlgn val="ctr"/>
        <c:lblOffset val="100"/>
        <c:noMultiLvlLbl val="0"/>
      </c:catAx>
      <c:valAx>
        <c:axId val="1096152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5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Student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Analysis!$K$10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Analysis!$I$11:$I$20</c:f>
              <c:strCache>
                <c:ptCount val="10"/>
                <c:pt idx="0">
                  <c:v>Dunn</c:v>
                </c:pt>
                <c:pt idx="1">
                  <c:v>Patrizia</c:v>
                </c:pt>
                <c:pt idx="2">
                  <c:v>Nil</c:v>
                </c:pt>
                <c:pt idx="3">
                  <c:v>Daffi</c:v>
                </c:pt>
                <c:pt idx="4">
                  <c:v>Ruddie</c:v>
                </c:pt>
                <c:pt idx="5">
                  <c:v>Herold</c:v>
                </c:pt>
                <c:pt idx="6">
                  <c:v>Val</c:v>
                </c:pt>
                <c:pt idx="7">
                  <c:v>Luelle</c:v>
                </c:pt>
                <c:pt idx="8">
                  <c:v>Leda</c:v>
                </c:pt>
                <c:pt idx="9">
                  <c:v>Malissa</c:v>
                </c:pt>
              </c:strCache>
            </c:strRef>
          </c:cat>
          <c:val>
            <c:numRef>
              <c:f>Analysis!$K$11:$K$20</c:f>
              <c:numCache>
                <c:formatCode>0%</c:formatCode>
                <c:ptCount val="10"/>
                <c:pt idx="0">
                  <c:v>0.90249999999999997</c:v>
                </c:pt>
                <c:pt idx="1">
                  <c:v>0.89</c:v>
                </c:pt>
                <c:pt idx="2">
                  <c:v>0.86750000000000005</c:v>
                </c:pt>
                <c:pt idx="3">
                  <c:v>0.85250000000000004</c:v>
                </c:pt>
                <c:pt idx="4">
                  <c:v>0.83250000000000002</c:v>
                </c:pt>
                <c:pt idx="5">
                  <c:v>0.8</c:v>
                </c:pt>
                <c:pt idx="6">
                  <c:v>0.8</c:v>
                </c:pt>
                <c:pt idx="7">
                  <c:v>0.79249999999999998</c:v>
                </c:pt>
                <c:pt idx="8">
                  <c:v>0.77749999999999997</c:v>
                </c:pt>
                <c:pt idx="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2-4ED9-9D98-A106DF933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847623"/>
        <c:axId val="1636849671"/>
      </c:barChart>
      <c:catAx>
        <c:axId val="163684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49671"/>
        <c:crosses val="autoZero"/>
        <c:auto val="1"/>
        <c:lblAlgn val="ctr"/>
        <c:lblOffset val="100"/>
        <c:noMultiLvlLbl val="0"/>
      </c:catAx>
      <c:valAx>
        <c:axId val="163684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4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Student Performers</a:t>
            </a:r>
          </a:p>
        </c:rich>
      </c:tx>
      <c:layout>
        <c:manualLayout>
          <c:xMode val="edge"/>
          <c:yMode val="edge"/>
          <c:x val="0.18105894536906531"/>
          <c:y val="3.0527987425240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Analysis!$K$22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Analysis!$I$23:$I$32</c:f>
              <c:strCache>
                <c:ptCount val="10"/>
                <c:pt idx="0">
                  <c:v>Ginnifer</c:v>
                </c:pt>
                <c:pt idx="1">
                  <c:v>Ashlan</c:v>
                </c:pt>
                <c:pt idx="2">
                  <c:v>Blake</c:v>
                </c:pt>
                <c:pt idx="3">
                  <c:v>Jocelin</c:v>
                </c:pt>
                <c:pt idx="4">
                  <c:v>Berget</c:v>
                </c:pt>
                <c:pt idx="5">
                  <c:v>Josepha</c:v>
                </c:pt>
                <c:pt idx="6">
                  <c:v>Nickie</c:v>
                </c:pt>
                <c:pt idx="7">
                  <c:v>Alasteir</c:v>
                </c:pt>
                <c:pt idx="8">
                  <c:v>Jesselyn</c:v>
                </c:pt>
                <c:pt idx="9">
                  <c:v>Raimund</c:v>
                </c:pt>
              </c:strCache>
            </c:strRef>
          </c:cat>
          <c:val>
            <c:numRef>
              <c:f>Analysis!$K$23:$K$32</c:f>
              <c:numCache>
                <c:formatCode>0%</c:formatCode>
                <c:ptCount val="10"/>
                <c:pt idx="0">
                  <c:v>0.14249999999999999</c:v>
                </c:pt>
                <c:pt idx="1">
                  <c:v>0.16750000000000001</c:v>
                </c:pt>
                <c:pt idx="2">
                  <c:v>0.17499999999999999</c:v>
                </c:pt>
                <c:pt idx="3">
                  <c:v>0.1825</c:v>
                </c:pt>
                <c:pt idx="4">
                  <c:v>0.1825</c:v>
                </c:pt>
                <c:pt idx="5">
                  <c:v>0.1925</c:v>
                </c:pt>
                <c:pt idx="6">
                  <c:v>0.19500000000000001</c:v>
                </c:pt>
                <c:pt idx="7">
                  <c:v>0.2225</c:v>
                </c:pt>
                <c:pt idx="8">
                  <c:v>0.23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0-46E3-9AB9-322E648F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7682439"/>
        <c:axId val="977684487"/>
      </c:barChart>
      <c:catAx>
        <c:axId val="977682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84487"/>
        <c:crosses val="autoZero"/>
        <c:auto val="1"/>
        <c:lblAlgn val="ctr"/>
        <c:lblOffset val="100"/>
        <c:noMultiLvlLbl val="0"/>
      </c:catAx>
      <c:valAx>
        <c:axId val="977684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8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</xdr:row>
      <xdr:rowOff>76200</xdr:rowOff>
    </xdr:from>
    <xdr:to>
      <xdr:col>3</xdr:col>
      <xdr:colOff>561975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00C45-3A46-B16E-5E36-235756D50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123825</xdr:colOff>
      <xdr:row>22</xdr:row>
      <xdr:rowOff>104775</xdr:rowOff>
    </xdr:from>
    <xdr:to>
      <xdr:col>24</xdr:col>
      <xdr:colOff>171450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42408-3521-1893-3AA1-E1C363296DE1}"/>
            </a:ext>
            <a:ext uri="{147F2762-F138-4A5C-976F-8EAC2B608ADB}">
              <a16:predDERef xmlns:a16="http://schemas.microsoft.com/office/drawing/2014/main" pred="{C1700C45-3A46-B16E-5E36-235756D50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723900</xdr:colOff>
      <xdr:row>20</xdr:row>
      <xdr:rowOff>19050</xdr:rowOff>
    </xdr:from>
    <xdr:to>
      <xdr:col>6</xdr:col>
      <xdr:colOff>400050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56C4C5-41C8-1515-CC2F-914DC977AB48}"/>
            </a:ext>
            <a:ext uri="{147F2762-F138-4A5C-976F-8EAC2B608ADB}">
              <a16:predDERef xmlns:a16="http://schemas.microsoft.com/office/drawing/2014/main" pred="{BB242408-3521-1893-3AA1-E1C363296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733425</xdr:colOff>
      <xdr:row>36</xdr:row>
      <xdr:rowOff>152400</xdr:rowOff>
    </xdr:from>
    <xdr:to>
      <xdr:col>6</xdr:col>
      <xdr:colOff>438150</xdr:colOff>
      <xdr:row>47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BE3C5B-4D9F-AAA2-32B0-EFB2C2291F46}"/>
            </a:ext>
            <a:ext uri="{147F2762-F138-4A5C-976F-8EAC2B608ADB}">
              <a16:predDERef xmlns:a16="http://schemas.microsoft.com/office/drawing/2014/main" pred="{FF56C4C5-41C8-1515-CC2F-914DC977A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361950</xdr:colOff>
      <xdr:row>34</xdr:row>
      <xdr:rowOff>180975</xdr:rowOff>
    </xdr:from>
    <xdr:to>
      <xdr:col>3</xdr:col>
      <xdr:colOff>552450</xdr:colOff>
      <xdr:row>48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CCAA30-030A-6E45-1A32-E274A5E259F2}"/>
            </a:ext>
            <a:ext uri="{147F2762-F138-4A5C-976F-8EAC2B608ADB}">
              <a16:predDERef xmlns:a16="http://schemas.microsoft.com/office/drawing/2014/main" pred="{DABE3C5B-4D9F-AAA2-32B0-EFB2C2291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552450</xdr:colOff>
      <xdr:row>8</xdr:row>
      <xdr:rowOff>171450</xdr:rowOff>
    </xdr:from>
    <xdr:to>
      <xdr:col>25</xdr:col>
      <xdr:colOff>38100</xdr:colOff>
      <xdr:row>19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BAECF1-FC4E-5322-94DF-7248C48A547E}"/>
            </a:ext>
            <a:ext uri="{147F2762-F138-4A5C-976F-8EAC2B608ADB}">
              <a16:predDERef xmlns:a16="http://schemas.microsoft.com/office/drawing/2014/main" pred="{F9CCAA30-030A-6E45-1A32-E274A5E25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121B8-F64D-4CB7-AC73-3A0B27C9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7</xdr:col>
      <xdr:colOff>866775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32C90-C597-4516-85B5-DA9B33663220}"/>
            </a:ext>
            <a:ext uri="{147F2762-F138-4A5C-976F-8EAC2B608ADB}">
              <a16:predDERef xmlns:a16="http://schemas.microsoft.com/office/drawing/2014/main" pred="{05F121B8-F64D-4CB7-AC73-3A0B27C9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20</xdr:row>
      <xdr:rowOff>180975</xdr:rowOff>
    </xdr:from>
    <xdr:to>
      <xdr:col>4</xdr:col>
      <xdr:colOff>9525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F7E2E5-0862-4C90-BD5A-C09B207B9927}"/>
            </a:ext>
            <a:ext uri="{147F2762-F138-4A5C-976F-8EAC2B608ADB}">
              <a16:predDERef xmlns:a16="http://schemas.microsoft.com/office/drawing/2014/main" pred="{21A32C90-C597-4516-85B5-DA9B33663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20</xdr:row>
      <xdr:rowOff>180975</xdr:rowOff>
    </xdr:from>
    <xdr:to>
      <xdr:col>8</xdr:col>
      <xdr:colOff>9525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D9B388-5086-4601-B8A0-7D581B51E125}"/>
            </a:ext>
            <a:ext uri="{147F2762-F138-4A5C-976F-8EAC2B608ADB}">
              <a16:predDERef xmlns:a16="http://schemas.microsoft.com/office/drawing/2014/main" pred="{8AF7E2E5-0862-4C90-BD5A-C09B207B9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447675</xdr:colOff>
      <xdr:row>49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7444E4-06BF-4B57-AFC8-A638833358C4}"/>
            </a:ext>
            <a:ext uri="{147F2762-F138-4A5C-976F-8EAC2B608ADB}">
              <a16:predDERef xmlns:a16="http://schemas.microsoft.com/office/drawing/2014/main" pred="{ADD9B388-5086-4601-B8A0-7D581B51E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447675</xdr:colOff>
      <xdr:row>35</xdr:row>
      <xdr:rowOff>0</xdr:rowOff>
    </xdr:from>
    <xdr:to>
      <xdr:col>14</xdr:col>
      <xdr:colOff>200025</xdr:colOff>
      <xdr:row>49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F4543B-C8F4-4EE8-8CE6-E2E5FD6453EF}"/>
            </a:ext>
            <a:ext uri="{147F2762-F138-4A5C-976F-8EAC2B608ADB}">
              <a16:predDERef xmlns:a16="http://schemas.microsoft.com/office/drawing/2014/main" pred="{CB7444E4-06BF-4B57-AFC8-A63883335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8D788-7598-4215-95E2-FF74241A4D65}" name="Table1" displayName="Table1" ref="A1:O251" totalsRowShown="0" headerRowDxfId="5">
  <autoFilter ref="A1:O251" xr:uid="{8678D788-7598-4215-95E2-FF74241A4D65}"/>
  <tableColumns count="15">
    <tableColumn id="1" xr3:uid="{F91132F0-CB6B-4D61-8765-4CB614D5856C}" name="id"/>
    <tableColumn id="2" xr3:uid="{28FBA2CE-176A-4528-B726-DB8A3CFB22A9}" name="Name"/>
    <tableColumn id="3" xr3:uid="{A4BD0FB8-CEE0-4815-B575-3D84B30F50A3}" name="Gender"/>
    <tableColumn id="4" xr3:uid="{C49DAD27-2EAE-4ECF-AB11-656F8D2432B9}" name="Age"/>
    <tableColumn id="5" xr3:uid="{27FA2FA9-E5E9-4048-90AE-ADC116DE16E3}" name="Section"/>
    <tableColumn id="6" xr3:uid="{E8430CF0-D390-4AD3-9FD2-DC49AA982F1F}" name="Science"/>
    <tableColumn id="7" xr3:uid="{94FC10DA-5BD3-4178-8785-B662EC28ACA9}" name="English"/>
    <tableColumn id="8" xr3:uid="{0F54323B-8656-4949-8C54-81CC854793BF}" name="History"/>
    <tableColumn id="9" xr3:uid="{A0EDE405-3FBE-494C-9DEC-8E3F1BD29A9C}" name="Maths"/>
    <tableColumn id="10" xr3:uid="{B8AD2477-E39D-4D70-983B-F482490F9584}" name="Total Marks" dataDxfId="4">
      <calculatedColumnFormula>SUM(F2:I2)</calculatedColumnFormula>
    </tableColumn>
    <tableColumn id="11" xr3:uid="{DD68D43D-D1D9-45F6-9651-D900D1312BD4}" name="Average marks">
      <calculatedColumnFormula>AVERAGE(F2:I2)</calculatedColumnFormula>
    </tableColumn>
    <tableColumn id="12" xr3:uid="{170D51F4-3A50-416F-BD7C-13F0B10F91AD}" name="Percentage" dataDxfId="3">
      <calculatedColumnFormula>J2/400</calculatedColumnFormula>
    </tableColumn>
    <tableColumn id="13" xr3:uid="{473783DC-7643-470E-865D-5498C9C849B9}" name="Grade" dataDxfId="2">
      <calculatedColumnFormula>IF(L2&gt;=90%,"A+", IF(L2&gt;=80%, "A", IF(L2&gt;=70%, "B", IF(L2&gt;=60%, "C", IF(L2&gt;=50%, "D", "F")))))</calculatedColumnFormula>
    </tableColumn>
    <tableColumn id="14" xr3:uid="{FB62DC05-5BD6-420B-B498-AF3F0DA28388}" name="Result" dataDxfId="1">
      <calculatedColumnFormula>IF(L2&gt;=50%, "PASS", "FAIL")</calculatedColumnFormula>
    </tableColumn>
    <tableColumn id="15" xr3:uid="{43D8BEFD-FB68-49C4-B4E0-0B7FE96FE2F9}" name="Performance" dataDxfId="0">
      <calculatedColumnFormula>IF(L2&gt;=85%, "EXCELLENT", IF(L2&gt;=70%, "GOOD", IF(L2&gt;=50%, "Needs Improvement", "At Risk")))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5955-D447-4008-BD55-CA19C6EF45B0}">
  <dimension ref="A1:O251"/>
  <sheetViews>
    <sheetView topLeftCell="D1" workbookViewId="0">
      <selection activeCell="L2" sqref="L2"/>
    </sheetView>
  </sheetViews>
  <sheetFormatPr defaultRowHeight="15"/>
  <cols>
    <col min="2" max="2" width="12.5703125" bestFit="1" customWidth="1"/>
    <col min="3" max="3" width="10" bestFit="1" customWidth="1"/>
    <col min="5" max="6" width="10" bestFit="1" customWidth="1"/>
    <col min="7" max="7" width="9.7109375" bestFit="1" customWidth="1"/>
    <col min="8" max="8" width="9.85546875" bestFit="1" customWidth="1"/>
    <col min="10" max="10" width="14" bestFit="1" customWidth="1"/>
    <col min="11" max="11" width="16.85546875" bestFit="1" customWidth="1"/>
    <col min="12" max="12" width="13.42578125" style="3" bestFit="1" customWidth="1"/>
    <col min="15" max="15" width="19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>
        <v>13</v>
      </c>
      <c r="E2" t="s">
        <v>17</v>
      </c>
      <c r="F2">
        <v>21</v>
      </c>
      <c r="G2">
        <v>81</v>
      </c>
      <c r="H2">
        <v>62</v>
      </c>
      <c r="I2">
        <v>49</v>
      </c>
      <c r="J2">
        <f t="shared" ref="J2:J65" si="0">SUM(F2:I2)</f>
        <v>213</v>
      </c>
      <c r="K2">
        <f>AVERAGE(F2:I2)</f>
        <v>53.25</v>
      </c>
      <c r="L2" s="3">
        <f>J2/400</f>
        <v>0.53249999999999997</v>
      </c>
      <c r="M2" t="str">
        <f t="shared" ref="M2:M65" si="1">IF(L2&gt;=90%,"A+", IF(L2&gt;=80%, "A", IF(L2&gt;=70%, "B", IF(L2&gt;=60%, "C", IF(L2&gt;=50%, "D", "F")))))</f>
        <v>D</v>
      </c>
      <c r="N2" t="str">
        <f t="shared" ref="N2:N65" si="2">IF(L2&gt;=50%, "PASS", "FAIL")</f>
        <v>PASS</v>
      </c>
      <c r="O2" t="str">
        <f t="shared" ref="O2:O65" si="3">IF(L2&gt;=85%, "EXCELLENT", IF(L2&gt;=70%, "GOOD", IF(L2&gt;=50%, "Needs Improvement", "At Risk")))</f>
        <v>Needs Improvement</v>
      </c>
    </row>
    <row r="3" spans="1:15">
      <c r="A3">
        <v>2</v>
      </c>
      <c r="B3" t="s">
        <v>18</v>
      </c>
      <c r="C3" t="s">
        <v>19</v>
      </c>
      <c r="D3">
        <v>15</v>
      </c>
      <c r="E3" t="s">
        <v>20</v>
      </c>
      <c r="F3">
        <v>29</v>
      </c>
      <c r="G3">
        <v>41</v>
      </c>
      <c r="H3">
        <v>17</v>
      </c>
      <c r="I3">
        <v>40</v>
      </c>
      <c r="J3">
        <f t="shared" si="0"/>
        <v>127</v>
      </c>
      <c r="K3">
        <f t="shared" ref="K3:K66" si="4">AVERAGE(F3:I3)</f>
        <v>31.75</v>
      </c>
      <c r="L3" s="3">
        <f t="shared" ref="L2:L65" si="5">J3/400</f>
        <v>0.3175</v>
      </c>
      <c r="M3" t="str">
        <f t="shared" si="1"/>
        <v>F</v>
      </c>
      <c r="N3" t="str">
        <f t="shared" si="2"/>
        <v>FAIL</v>
      </c>
      <c r="O3" t="str">
        <f t="shared" si="3"/>
        <v>At Risk</v>
      </c>
    </row>
    <row r="4" spans="1:15">
      <c r="A4">
        <v>3</v>
      </c>
      <c r="B4" t="s">
        <v>21</v>
      </c>
      <c r="C4" t="s">
        <v>16</v>
      </c>
      <c r="D4">
        <v>14</v>
      </c>
      <c r="E4" t="s">
        <v>17</v>
      </c>
      <c r="F4">
        <v>12</v>
      </c>
      <c r="G4">
        <v>87</v>
      </c>
      <c r="H4">
        <v>16</v>
      </c>
      <c r="I4">
        <v>96</v>
      </c>
      <c r="J4">
        <f t="shared" si="0"/>
        <v>211</v>
      </c>
      <c r="K4">
        <f t="shared" si="4"/>
        <v>52.75</v>
      </c>
      <c r="L4" s="3">
        <f t="shared" si="5"/>
        <v>0.52749999999999997</v>
      </c>
      <c r="M4" t="str">
        <f t="shared" si="1"/>
        <v>D</v>
      </c>
      <c r="N4" t="str">
        <f t="shared" si="2"/>
        <v>PASS</v>
      </c>
      <c r="O4" t="str">
        <f t="shared" si="3"/>
        <v>Needs Improvement</v>
      </c>
    </row>
    <row r="5" spans="1:15">
      <c r="A5">
        <v>4</v>
      </c>
      <c r="B5" t="s">
        <v>22</v>
      </c>
      <c r="C5" t="s">
        <v>16</v>
      </c>
      <c r="D5">
        <v>14</v>
      </c>
      <c r="E5" t="s">
        <v>20</v>
      </c>
      <c r="F5">
        <v>15</v>
      </c>
      <c r="G5">
        <v>53</v>
      </c>
      <c r="H5">
        <v>82</v>
      </c>
      <c r="I5">
        <v>33</v>
      </c>
      <c r="J5">
        <f t="shared" si="0"/>
        <v>183</v>
      </c>
      <c r="K5">
        <f t="shared" si="4"/>
        <v>45.75</v>
      </c>
      <c r="L5" s="3">
        <f t="shared" si="5"/>
        <v>0.45750000000000002</v>
      </c>
      <c r="M5" t="str">
        <f t="shared" si="1"/>
        <v>F</v>
      </c>
      <c r="N5" t="str">
        <f t="shared" si="2"/>
        <v>FAIL</v>
      </c>
      <c r="O5" t="str">
        <f t="shared" si="3"/>
        <v>At Risk</v>
      </c>
    </row>
    <row r="6" spans="1:15">
      <c r="A6">
        <v>5</v>
      </c>
      <c r="B6" t="s">
        <v>23</v>
      </c>
      <c r="C6" t="s">
        <v>19</v>
      </c>
      <c r="D6">
        <v>14</v>
      </c>
      <c r="E6" t="s">
        <v>24</v>
      </c>
      <c r="F6">
        <v>43</v>
      </c>
      <c r="G6">
        <v>6</v>
      </c>
      <c r="H6">
        <v>3</v>
      </c>
      <c r="I6">
        <v>21</v>
      </c>
      <c r="J6">
        <f t="shared" si="0"/>
        <v>73</v>
      </c>
      <c r="K6">
        <f t="shared" si="4"/>
        <v>18.25</v>
      </c>
      <c r="L6" s="3">
        <f t="shared" si="5"/>
        <v>0.1825</v>
      </c>
      <c r="M6" t="str">
        <f t="shared" si="1"/>
        <v>F</v>
      </c>
      <c r="N6" t="str">
        <f t="shared" si="2"/>
        <v>FAIL</v>
      </c>
      <c r="O6" t="str">
        <f t="shared" si="3"/>
        <v>At Risk</v>
      </c>
    </row>
    <row r="7" spans="1:15">
      <c r="A7">
        <v>6</v>
      </c>
      <c r="B7" t="s">
        <v>25</v>
      </c>
      <c r="C7" t="s">
        <v>16</v>
      </c>
      <c r="D7">
        <v>14</v>
      </c>
      <c r="E7" t="s">
        <v>17</v>
      </c>
      <c r="F7">
        <v>98</v>
      </c>
      <c r="G7">
        <v>51</v>
      </c>
      <c r="H7">
        <v>85</v>
      </c>
      <c r="I7">
        <v>76</v>
      </c>
      <c r="J7">
        <f t="shared" si="0"/>
        <v>310</v>
      </c>
      <c r="K7">
        <f t="shared" si="4"/>
        <v>77.5</v>
      </c>
      <c r="L7" s="3">
        <f t="shared" si="5"/>
        <v>0.77500000000000002</v>
      </c>
      <c r="M7" t="str">
        <f t="shared" si="1"/>
        <v>B</v>
      </c>
      <c r="N7" t="str">
        <f t="shared" si="2"/>
        <v>PASS</v>
      </c>
      <c r="O7" t="str">
        <f t="shared" si="3"/>
        <v>GOOD</v>
      </c>
    </row>
    <row r="8" spans="1:15">
      <c r="A8">
        <v>7</v>
      </c>
      <c r="B8" t="s">
        <v>26</v>
      </c>
      <c r="C8" t="s">
        <v>16</v>
      </c>
      <c r="D8">
        <v>14</v>
      </c>
      <c r="E8" t="s">
        <v>20</v>
      </c>
      <c r="F8">
        <v>38</v>
      </c>
      <c r="G8">
        <v>74</v>
      </c>
      <c r="H8">
        <v>54</v>
      </c>
      <c r="I8">
        <v>60</v>
      </c>
      <c r="J8">
        <f t="shared" si="0"/>
        <v>226</v>
      </c>
      <c r="K8">
        <f t="shared" si="4"/>
        <v>56.5</v>
      </c>
      <c r="L8" s="3">
        <f t="shared" si="5"/>
        <v>0.56499999999999995</v>
      </c>
      <c r="M8" t="str">
        <f t="shared" si="1"/>
        <v>D</v>
      </c>
      <c r="N8" t="str">
        <f t="shared" si="2"/>
        <v>PASS</v>
      </c>
      <c r="O8" t="str">
        <f t="shared" si="3"/>
        <v>Needs Improvement</v>
      </c>
    </row>
    <row r="9" spans="1:15">
      <c r="A9">
        <v>8</v>
      </c>
      <c r="B9" t="s">
        <v>27</v>
      </c>
      <c r="C9" t="s">
        <v>19</v>
      </c>
      <c r="D9">
        <v>14</v>
      </c>
      <c r="E9" t="s">
        <v>20</v>
      </c>
      <c r="F9">
        <v>25</v>
      </c>
      <c r="G9">
        <v>51</v>
      </c>
      <c r="H9">
        <v>41</v>
      </c>
      <c r="I9">
        <v>80</v>
      </c>
      <c r="J9">
        <f t="shared" si="0"/>
        <v>197</v>
      </c>
      <c r="K9">
        <f t="shared" si="4"/>
        <v>49.25</v>
      </c>
      <c r="L9" s="3">
        <f t="shared" si="5"/>
        <v>0.49249999999999999</v>
      </c>
      <c r="M9" t="str">
        <f t="shared" si="1"/>
        <v>F</v>
      </c>
      <c r="N9" t="str">
        <f t="shared" si="2"/>
        <v>FAIL</v>
      </c>
      <c r="O9" t="str">
        <f t="shared" si="3"/>
        <v>At Risk</v>
      </c>
    </row>
    <row r="10" spans="1:15">
      <c r="A10">
        <v>9</v>
      </c>
      <c r="B10" t="s">
        <v>28</v>
      </c>
      <c r="C10" t="s">
        <v>19</v>
      </c>
      <c r="D10">
        <v>15</v>
      </c>
      <c r="E10" t="s">
        <v>24</v>
      </c>
      <c r="F10">
        <v>39</v>
      </c>
      <c r="G10">
        <v>16</v>
      </c>
      <c r="H10">
        <v>22</v>
      </c>
      <c r="I10">
        <v>49</v>
      </c>
      <c r="J10">
        <f t="shared" si="0"/>
        <v>126</v>
      </c>
      <c r="K10">
        <f t="shared" si="4"/>
        <v>31.5</v>
      </c>
      <c r="L10" s="3">
        <f t="shared" si="5"/>
        <v>0.315</v>
      </c>
      <c r="M10" t="str">
        <f t="shared" si="1"/>
        <v>F</v>
      </c>
      <c r="N10" t="str">
        <f t="shared" si="2"/>
        <v>FAIL</v>
      </c>
      <c r="O10" t="str">
        <f t="shared" si="3"/>
        <v>At Risk</v>
      </c>
    </row>
    <row r="11" spans="1:15">
      <c r="A11">
        <v>10</v>
      </c>
      <c r="B11" t="s">
        <v>29</v>
      </c>
      <c r="C11" t="s">
        <v>19</v>
      </c>
      <c r="D11">
        <v>15</v>
      </c>
      <c r="E11" t="s">
        <v>17</v>
      </c>
      <c r="F11">
        <v>35</v>
      </c>
      <c r="G11">
        <v>25</v>
      </c>
      <c r="H11">
        <v>37</v>
      </c>
      <c r="I11">
        <v>27</v>
      </c>
      <c r="J11">
        <f t="shared" si="0"/>
        <v>124</v>
      </c>
      <c r="K11">
        <f t="shared" si="4"/>
        <v>31</v>
      </c>
      <c r="L11" s="3">
        <f t="shared" si="5"/>
        <v>0.31</v>
      </c>
      <c r="M11" t="str">
        <f t="shared" si="1"/>
        <v>F</v>
      </c>
      <c r="N11" t="str">
        <f t="shared" si="2"/>
        <v>FAIL</v>
      </c>
      <c r="O11" t="str">
        <f t="shared" si="3"/>
        <v>At Risk</v>
      </c>
    </row>
    <row r="12" spans="1:15">
      <c r="A12">
        <v>11</v>
      </c>
      <c r="B12" t="s">
        <v>30</v>
      </c>
      <c r="C12" t="s">
        <v>19</v>
      </c>
      <c r="D12">
        <v>15</v>
      </c>
      <c r="E12" t="s">
        <v>17</v>
      </c>
      <c r="F12">
        <v>100</v>
      </c>
      <c r="G12">
        <v>93</v>
      </c>
      <c r="H12">
        <v>87</v>
      </c>
      <c r="I12">
        <v>81</v>
      </c>
      <c r="J12">
        <f t="shared" si="0"/>
        <v>361</v>
      </c>
      <c r="K12">
        <f t="shared" si="4"/>
        <v>90.25</v>
      </c>
      <c r="L12" s="3">
        <f t="shared" si="5"/>
        <v>0.90249999999999997</v>
      </c>
      <c r="M12" t="str">
        <f t="shared" si="1"/>
        <v>A+</v>
      </c>
      <c r="N12" t="str">
        <f t="shared" si="2"/>
        <v>PASS</v>
      </c>
      <c r="O12" t="str">
        <f t="shared" si="3"/>
        <v>EXCELLENT</v>
      </c>
    </row>
    <row r="13" spans="1:15">
      <c r="A13">
        <v>12</v>
      </c>
      <c r="B13" t="s">
        <v>31</v>
      </c>
      <c r="C13" t="s">
        <v>19</v>
      </c>
      <c r="D13">
        <v>13</v>
      </c>
      <c r="E13" t="s">
        <v>20</v>
      </c>
      <c r="F13">
        <v>19</v>
      </c>
      <c r="G13">
        <v>5</v>
      </c>
      <c r="H13">
        <v>78</v>
      </c>
      <c r="I13">
        <v>76</v>
      </c>
      <c r="J13">
        <f t="shared" si="0"/>
        <v>178</v>
      </c>
      <c r="K13">
        <f t="shared" si="4"/>
        <v>44.5</v>
      </c>
      <c r="L13" s="3">
        <f t="shared" si="5"/>
        <v>0.44500000000000001</v>
      </c>
      <c r="M13" t="str">
        <f t="shared" si="1"/>
        <v>F</v>
      </c>
      <c r="N13" t="str">
        <f t="shared" si="2"/>
        <v>FAIL</v>
      </c>
      <c r="O13" t="str">
        <f t="shared" si="3"/>
        <v>At Risk</v>
      </c>
    </row>
    <row r="14" spans="1:15">
      <c r="A14">
        <v>13</v>
      </c>
      <c r="B14" t="s">
        <v>32</v>
      </c>
      <c r="C14" t="s">
        <v>19</v>
      </c>
      <c r="D14">
        <v>15</v>
      </c>
      <c r="E14" t="s">
        <v>24</v>
      </c>
      <c r="F14">
        <v>65</v>
      </c>
      <c r="G14">
        <v>89</v>
      </c>
      <c r="H14">
        <v>96</v>
      </c>
      <c r="I14">
        <v>34</v>
      </c>
      <c r="J14">
        <f t="shared" si="0"/>
        <v>284</v>
      </c>
      <c r="K14">
        <f t="shared" si="4"/>
        <v>71</v>
      </c>
      <c r="L14" s="3">
        <f t="shared" si="5"/>
        <v>0.71</v>
      </c>
      <c r="M14" t="str">
        <f t="shared" si="1"/>
        <v>B</v>
      </c>
      <c r="N14" t="str">
        <f t="shared" si="2"/>
        <v>PASS</v>
      </c>
      <c r="O14" t="str">
        <f t="shared" si="3"/>
        <v>GOOD</v>
      </c>
    </row>
    <row r="15" spans="1:15">
      <c r="A15">
        <v>14</v>
      </c>
      <c r="B15" t="s">
        <v>33</v>
      </c>
      <c r="C15" t="s">
        <v>16</v>
      </c>
      <c r="D15">
        <v>13</v>
      </c>
      <c r="E15" t="s">
        <v>20</v>
      </c>
      <c r="F15">
        <v>93</v>
      </c>
      <c r="G15">
        <v>38</v>
      </c>
      <c r="H15">
        <v>39</v>
      </c>
      <c r="I15">
        <v>93</v>
      </c>
      <c r="J15">
        <f t="shared" si="0"/>
        <v>263</v>
      </c>
      <c r="K15">
        <f t="shared" si="4"/>
        <v>65.75</v>
      </c>
      <c r="L15" s="3">
        <f t="shared" si="5"/>
        <v>0.65749999999999997</v>
      </c>
      <c r="M15" t="str">
        <f t="shared" si="1"/>
        <v>C</v>
      </c>
      <c r="N15" t="str">
        <f t="shared" si="2"/>
        <v>PASS</v>
      </c>
      <c r="O15" t="str">
        <f t="shared" si="3"/>
        <v>Needs Improvement</v>
      </c>
    </row>
    <row r="16" spans="1:15">
      <c r="A16">
        <v>15</v>
      </c>
      <c r="B16" t="s">
        <v>34</v>
      </c>
      <c r="C16" t="s">
        <v>16</v>
      </c>
      <c r="D16">
        <v>13</v>
      </c>
      <c r="E16" t="s">
        <v>20</v>
      </c>
      <c r="F16">
        <v>98</v>
      </c>
      <c r="G16">
        <v>18</v>
      </c>
      <c r="H16">
        <v>84</v>
      </c>
      <c r="I16">
        <v>74</v>
      </c>
      <c r="J16">
        <f t="shared" si="0"/>
        <v>274</v>
      </c>
      <c r="K16">
        <f t="shared" si="4"/>
        <v>68.5</v>
      </c>
      <c r="L16" s="3">
        <f t="shared" si="5"/>
        <v>0.68500000000000005</v>
      </c>
      <c r="M16" t="str">
        <f t="shared" si="1"/>
        <v>C</v>
      </c>
      <c r="N16" t="str">
        <f t="shared" si="2"/>
        <v>PASS</v>
      </c>
      <c r="O16" t="str">
        <f t="shared" si="3"/>
        <v>Needs Improvement</v>
      </c>
    </row>
    <row r="17" spans="1:15">
      <c r="A17">
        <v>16</v>
      </c>
      <c r="B17" t="s">
        <v>35</v>
      </c>
      <c r="C17" t="s">
        <v>19</v>
      </c>
      <c r="D17">
        <v>15</v>
      </c>
      <c r="E17" t="s">
        <v>24</v>
      </c>
      <c r="F17">
        <v>53</v>
      </c>
      <c r="G17">
        <v>30</v>
      </c>
      <c r="H17">
        <v>90</v>
      </c>
      <c r="I17">
        <v>64</v>
      </c>
      <c r="J17">
        <f t="shared" si="0"/>
        <v>237</v>
      </c>
      <c r="K17">
        <f t="shared" si="4"/>
        <v>59.25</v>
      </c>
      <c r="L17" s="3">
        <f t="shared" si="5"/>
        <v>0.59250000000000003</v>
      </c>
      <c r="M17" t="str">
        <f t="shared" si="1"/>
        <v>D</v>
      </c>
      <c r="N17" t="str">
        <f t="shared" si="2"/>
        <v>PASS</v>
      </c>
      <c r="O17" t="str">
        <f t="shared" si="3"/>
        <v>Needs Improvement</v>
      </c>
    </row>
    <row r="18" spans="1:15">
      <c r="A18">
        <v>17</v>
      </c>
      <c r="B18" t="s">
        <v>36</v>
      </c>
      <c r="C18" t="s">
        <v>19</v>
      </c>
      <c r="D18">
        <v>13</v>
      </c>
      <c r="E18" t="s">
        <v>24</v>
      </c>
      <c r="F18">
        <v>91</v>
      </c>
      <c r="G18">
        <v>45</v>
      </c>
      <c r="H18">
        <v>44</v>
      </c>
      <c r="I18">
        <v>45</v>
      </c>
      <c r="J18">
        <f t="shared" si="0"/>
        <v>225</v>
      </c>
      <c r="K18">
        <f t="shared" si="4"/>
        <v>56.25</v>
      </c>
      <c r="L18" s="3">
        <f t="shared" si="5"/>
        <v>0.5625</v>
      </c>
      <c r="M18" t="str">
        <f t="shared" si="1"/>
        <v>D</v>
      </c>
      <c r="N18" t="str">
        <f t="shared" si="2"/>
        <v>PASS</v>
      </c>
      <c r="O18" t="str">
        <f t="shared" si="3"/>
        <v>Needs Improvement</v>
      </c>
    </row>
    <row r="19" spans="1:15">
      <c r="A19">
        <v>18</v>
      </c>
      <c r="B19" t="s">
        <v>37</v>
      </c>
      <c r="C19" t="s">
        <v>16</v>
      </c>
      <c r="D19">
        <v>13</v>
      </c>
      <c r="E19" t="s">
        <v>20</v>
      </c>
      <c r="F19">
        <v>5</v>
      </c>
      <c r="G19">
        <v>89</v>
      </c>
      <c r="H19">
        <v>25</v>
      </c>
      <c r="I19">
        <v>23</v>
      </c>
      <c r="J19">
        <f t="shared" si="0"/>
        <v>142</v>
      </c>
      <c r="K19">
        <f t="shared" si="4"/>
        <v>35.5</v>
      </c>
      <c r="L19" s="3">
        <f t="shared" si="5"/>
        <v>0.35499999999999998</v>
      </c>
      <c r="M19" t="str">
        <f t="shared" si="1"/>
        <v>F</v>
      </c>
      <c r="N19" t="str">
        <f t="shared" si="2"/>
        <v>FAIL</v>
      </c>
      <c r="O19" t="str">
        <f t="shared" si="3"/>
        <v>At Risk</v>
      </c>
    </row>
    <row r="20" spans="1:15">
      <c r="A20">
        <v>19</v>
      </c>
      <c r="B20" t="s">
        <v>38</v>
      </c>
      <c r="C20" t="s">
        <v>16</v>
      </c>
      <c r="D20">
        <v>13</v>
      </c>
      <c r="E20" t="s">
        <v>20</v>
      </c>
      <c r="F20">
        <v>62</v>
      </c>
      <c r="G20">
        <v>77</v>
      </c>
      <c r="H20">
        <v>75</v>
      </c>
      <c r="I20">
        <v>72</v>
      </c>
      <c r="J20">
        <f t="shared" si="0"/>
        <v>286</v>
      </c>
      <c r="K20">
        <f t="shared" si="4"/>
        <v>71.5</v>
      </c>
      <c r="L20" s="3">
        <f t="shared" si="5"/>
        <v>0.71499999999999997</v>
      </c>
      <c r="M20" t="str">
        <f t="shared" si="1"/>
        <v>B</v>
      </c>
      <c r="N20" t="str">
        <f t="shared" si="2"/>
        <v>PASS</v>
      </c>
      <c r="O20" t="str">
        <f t="shared" si="3"/>
        <v>GOOD</v>
      </c>
    </row>
    <row r="21" spans="1:15">
      <c r="A21">
        <v>20</v>
      </c>
      <c r="B21" t="s">
        <v>39</v>
      </c>
      <c r="C21" t="s">
        <v>19</v>
      </c>
      <c r="D21">
        <v>13</v>
      </c>
      <c r="E21" t="s">
        <v>20</v>
      </c>
      <c r="F21">
        <v>41</v>
      </c>
      <c r="G21">
        <v>6</v>
      </c>
      <c r="H21">
        <v>17</v>
      </c>
      <c r="I21">
        <v>3</v>
      </c>
      <c r="J21">
        <f t="shared" si="0"/>
        <v>67</v>
      </c>
      <c r="K21">
        <f t="shared" si="4"/>
        <v>16.75</v>
      </c>
      <c r="L21" s="3">
        <f t="shared" si="5"/>
        <v>0.16750000000000001</v>
      </c>
      <c r="M21" t="str">
        <f t="shared" si="1"/>
        <v>F</v>
      </c>
      <c r="N21" t="str">
        <f t="shared" si="2"/>
        <v>FAIL</v>
      </c>
      <c r="O21" t="str">
        <f t="shared" si="3"/>
        <v>At Risk</v>
      </c>
    </row>
    <row r="22" spans="1:15">
      <c r="A22">
        <v>21</v>
      </c>
      <c r="B22" t="s">
        <v>40</v>
      </c>
      <c r="C22" t="s">
        <v>19</v>
      </c>
      <c r="D22">
        <v>13</v>
      </c>
      <c r="E22" t="s">
        <v>24</v>
      </c>
      <c r="F22">
        <v>76</v>
      </c>
      <c r="G22">
        <v>96</v>
      </c>
      <c r="H22">
        <v>67</v>
      </c>
      <c r="I22">
        <v>17</v>
      </c>
      <c r="J22">
        <f t="shared" si="0"/>
        <v>256</v>
      </c>
      <c r="K22">
        <f t="shared" si="4"/>
        <v>64</v>
      </c>
      <c r="L22" s="3">
        <f t="shared" si="5"/>
        <v>0.64</v>
      </c>
      <c r="M22" t="str">
        <f t="shared" si="1"/>
        <v>C</v>
      </c>
      <c r="N22" t="str">
        <f t="shared" si="2"/>
        <v>PASS</v>
      </c>
      <c r="O22" t="str">
        <f t="shared" si="3"/>
        <v>Needs Improvement</v>
      </c>
    </row>
    <row r="23" spans="1:15">
      <c r="A23">
        <v>22</v>
      </c>
      <c r="B23" t="s">
        <v>41</v>
      </c>
      <c r="C23" t="s">
        <v>19</v>
      </c>
      <c r="D23">
        <v>14</v>
      </c>
      <c r="E23" t="s">
        <v>20</v>
      </c>
      <c r="F23">
        <v>3</v>
      </c>
      <c r="G23">
        <v>55</v>
      </c>
      <c r="H23">
        <v>14</v>
      </c>
      <c r="I23">
        <v>90</v>
      </c>
      <c r="J23">
        <f t="shared" si="0"/>
        <v>162</v>
      </c>
      <c r="K23">
        <f t="shared" si="4"/>
        <v>40.5</v>
      </c>
      <c r="L23" s="3">
        <f t="shared" si="5"/>
        <v>0.40500000000000003</v>
      </c>
      <c r="M23" t="str">
        <f t="shared" si="1"/>
        <v>F</v>
      </c>
      <c r="N23" t="str">
        <f t="shared" si="2"/>
        <v>FAIL</v>
      </c>
      <c r="O23" t="str">
        <f t="shared" si="3"/>
        <v>At Risk</v>
      </c>
    </row>
    <row r="24" spans="1:15">
      <c r="A24">
        <v>23</v>
      </c>
      <c r="B24" t="s">
        <v>42</v>
      </c>
      <c r="C24" t="s">
        <v>16</v>
      </c>
      <c r="D24">
        <v>13</v>
      </c>
      <c r="E24" t="s">
        <v>17</v>
      </c>
      <c r="F24">
        <v>5</v>
      </c>
      <c r="G24">
        <v>83</v>
      </c>
      <c r="H24">
        <v>19</v>
      </c>
      <c r="I24">
        <v>39</v>
      </c>
      <c r="J24">
        <f t="shared" si="0"/>
        <v>146</v>
      </c>
      <c r="K24">
        <f t="shared" si="4"/>
        <v>36.5</v>
      </c>
      <c r="L24" s="3">
        <f t="shared" si="5"/>
        <v>0.36499999999999999</v>
      </c>
      <c r="M24" t="str">
        <f t="shared" si="1"/>
        <v>F</v>
      </c>
      <c r="N24" t="str">
        <f t="shared" si="2"/>
        <v>FAIL</v>
      </c>
      <c r="O24" t="str">
        <f t="shared" si="3"/>
        <v>At Risk</v>
      </c>
    </row>
    <row r="25" spans="1:15">
      <c r="A25">
        <v>24</v>
      </c>
      <c r="B25" t="s">
        <v>43</v>
      </c>
      <c r="C25" t="s">
        <v>16</v>
      </c>
      <c r="D25">
        <v>14</v>
      </c>
      <c r="E25" t="s">
        <v>17</v>
      </c>
      <c r="F25">
        <v>48</v>
      </c>
      <c r="G25">
        <v>83</v>
      </c>
      <c r="H25">
        <v>79</v>
      </c>
      <c r="I25">
        <v>95</v>
      </c>
      <c r="J25">
        <f t="shared" si="0"/>
        <v>305</v>
      </c>
      <c r="K25">
        <f t="shared" si="4"/>
        <v>76.25</v>
      </c>
      <c r="L25" s="3">
        <f t="shared" si="5"/>
        <v>0.76249999999999996</v>
      </c>
      <c r="M25" t="str">
        <f t="shared" si="1"/>
        <v>B</v>
      </c>
      <c r="N25" t="str">
        <f t="shared" si="2"/>
        <v>PASS</v>
      </c>
      <c r="O25" t="str">
        <f t="shared" si="3"/>
        <v>GOOD</v>
      </c>
    </row>
    <row r="26" spans="1:15">
      <c r="A26">
        <v>25</v>
      </c>
      <c r="B26" t="s">
        <v>44</v>
      </c>
      <c r="C26" t="s">
        <v>19</v>
      </c>
      <c r="D26">
        <v>14</v>
      </c>
      <c r="E26" t="s">
        <v>24</v>
      </c>
      <c r="F26">
        <v>17</v>
      </c>
      <c r="G26">
        <v>87</v>
      </c>
      <c r="H26">
        <v>16</v>
      </c>
      <c r="I26">
        <v>50</v>
      </c>
      <c r="J26">
        <f t="shared" si="0"/>
        <v>170</v>
      </c>
      <c r="K26">
        <f t="shared" si="4"/>
        <v>42.5</v>
      </c>
      <c r="L26" s="3">
        <f t="shared" si="5"/>
        <v>0.42499999999999999</v>
      </c>
      <c r="M26" t="str">
        <f t="shared" si="1"/>
        <v>F</v>
      </c>
      <c r="N26" t="str">
        <f t="shared" si="2"/>
        <v>FAIL</v>
      </c>
      <c r="O26" t="str">
        <f t="shared" si="3"/>
        <v>At Risk</v>
      </c>
    </row>
    <row r="27" spans="1:15">
      <c r="A27">
        <v>26</v>
      </c>
      <c r="B27" t="s">
        <v>45</v>
      </c>
      <c r="C27" t="s">
        <v>16</v>
      </c>
      <c r="D27">
        <v>15</v>
      </c>
      <c r="E27" t="s">
        <v>24</v>
      </c>
      <c r="F27">
        <v>16</v>
      </c>
      <c r="G27">
        <v>59</v>
      </c>
      <c r="H27">
        <v>18</v>
      </c>
      <c r="I27">
        <v>64</v>
      </c>
      <c r="J27">
        <f t="shared" si="0"/>
        <v>157</v>
      </c>
      <c r="K27">
        <f t="shared" si="4"/>
        <v>39.25</v>
      </c>
      <c r="L27" s="3">
        <f t="shared" si="5"/>
        <v>0.39250000000000002</v>
      </c>
      <c r="M27" t="str">
        <f t="shared" si="1"/>
        <v>F</v>
      </c>
      <c r="N27" t="str">
        <f t="shared" si="2"/>
        <v>FAIL</v>
      </c>
      <c r="O27" t="str">
        <f t="shared" si="3"/>
        <v>At Risk</v>
      </c>
    </row>
    <row r="28" spans="1:15">
      <c r="A28">
        <v>27</v>
      </c>
      <c r="B28" t="s">
        <v>46</v>
      </c>
      <c r="C28" t="s">
        <v>16</v>
      </c>
      <c r="D28">
        <v>14</v>
      </c>
      <c r="E28" t="s">
        <v>24</v>
      </c>
      <c r="F28">
        <v>93</v>
      </c>
      <c r="G28">
        <v>93</v>
      </c>
      <c r="H28">
        <v>83</v>
      </c>
      <c r="I28">
        <v>40</v>
      </c>
      <c r="J28">
        <f t="shared" si="0"/>
        <v>309</v>
      </c>
      <c r="K28">
        <f t="shared" si="4"/>
        <v>77.25</v>
      </c>
      <c r="L28" s="3">
        <f t="shared" si="5"/>
        <v>0.77249999999999996</v>
      </c>
      <c r="M28" t="str">
        <f t="shared" si="1"/>
        <v>B</v>
      </c>
      <c r="N28" t="str">
        <f t="shared" si="2"/>
        <v>PASS</v>
      </c>
      <c r="O28" t="str">
        <f t="shared" si="3"/>
        <v>GOOD</v>
      </c>
    </row>
    <row r="29" spans="1:15">
      <c r="A29">
        <v>28</v>
      </c>
      <c r="B29" t="s">
        <v>47</v>
      </c>
      <c r="C29" t="s">
        <v>19</v>
      </c>
      <c r="D29">
        <v>14</v>
      </c>
      <c r="E29" t="s">
        <v>24</v>
      </c>
      <c r="F29">
        <v>60</v>
      </c>
      <c r="G29">
        <v>36</v>
      </c>
      <c r="H29">
        <v>86</v>
      </c>
      <c r="I29">
        <v>87</v>
      </c>
      <c r="J29">
        <f t="shared" si="0"/>
        <v>269</v>
      </c>
      <c r="K29">
        <f t="shared" si="4"/>
        <v>67.25</v>
      </c>
      <c r="L29" s="3">
        <f t="shared" si="5"/>
        <v>0.67249999999999999</v>
      </c>
      <c r="M29" t="str">
        <f t="shared" si="1"/>
        <v>C</v>
      </c>
      <c r="N29" t="str">
        <f t="shared" si="2"/>
        <v>PASS</v>
      </c>
      <c r="O29" t="str">
        <f t="shared" si="3"/>
        <v>Needs Improvement</v>
      </c>
    </row>
    <row r="30" spans="1:15">
      <c r="A30">
        <v>29</v>
      </c>
      <c r="B30" t="s">
        <v>48</v>
      </c>
      <c r="C30" t="s">
        <v>19</v>
      </c>
      <c r="D30">
        <v>13</v>
      </c>
      <c r="E30" t="s">
        <v>17</v>
      </c>
      <c r="F30">
        <v>19</v>
      </c>
      <c r="G30">
        <v>8</v>
      </c>
      <c r="H30">
        <v>76</v>
      </c>
      <c r="I30">
        <v>75</v>
      </c>
      <c r="J30">
        <f t="shared" si="0"/>
        <v>178</v>
      </c>
      <c r="K30">
        <f t="shared" si="4"/>
        <v>44.5</v>
      </c>
      <c r="L30" s="3">
        <f t="shared" si="5"/>
        <v>0.44500000000000001</v>
      </c>
      <c r="M30" t="str">
        <f t="shared" si="1"/>
        <v>F</v>
      </c>
      <c r="N30" t="str">
        <f t="shared" si="2"/>
        <v>FAIL</v>
      </c>
      <c r="O30" t="str">
        <f t="shared" si="3"/>
        <v>At Risk</v>
      </c>
    </row>
    <row r="31" spans="1:15">
      <c r="A31">
        <v>30</v>
      </c>
      <c r="B31" t="s">
        <v>49</v>
      </c>
      <c r="C31" t="s">
        <v>19</v>
      </c>
      <c r="D31">
        <v>13</v>
      </c>
      <c r="E31" t="s">
        <v>17</v>
      </c>
      <c r="F31">
        <v>95</v>
      </c>
      <c r="G31">
        <v>65</v>
      </c>
      <c r="H31">
        <v>25</v>
      </c>
      <c r="I31">
        <v>91</v>
      </c>
      <c r="J31">
        <f t="shared" si="0"/>
        <v>276</v>
      </c>
      <c r="K31">
        <f t="shared" si="4"/>
        <v>69</v>
      </c>
      <c r="L31" s="3">
        <f t="shared" si="5"/>
        <v>0.69</v>
      </c>
      <c r="M31" t="str">
        <f t="shared" si="1"/>
        <v>C</v>
      </c>
      <c r="N31" t="str">
        <f t="shared" si="2"/>
        <v>PASS</v>
      </c>
      <c r="O31" t="str">
        <f t="shared" si="3"/>
        <v>Needs Improvement</v>
      </c>
    </row>
    <row r="32" spans="1:15">
      <c r="A32">
        <v>31</v>
      </c>
      <c r="B32" t="s">
        <v>50</v>
      </c>
      <c r="C32" t="s">
        <v>16</v>
      </c>
      <c r="D32">
        <v>15</v>
      </c>
      <c r="E32" t="s">
        <v>20</v>
      </c>
      <c r="F32">
        <v>14</v>
      </c>
      <c r="G32">
        <v>83</v>
      </c>
      <c r="H32">
        <v>9</v>
      </c>
      <c r="I32">
        <v>90</v>
      </c>
      <c r="J32">
        <f t="shared" si="0"/>
        <v>196</v>
      </c>
      <c r="K32">
        <f t="shared" si="4"/>
        <v>49</v>
      </c>
      <c r="L32" s="3">
        <f t="shared" si="5"/>
        <v>0.49</v>
      </c>
      <c r="M32" t="str">
        <f t="shared" si="1"/>
        <v>F</v>
      </c>
      <c r="N32" t="str">
        <f t="shared" si="2"/>
        <v>FAIL</v>
      </c>
      <c r="O32" t="str">
        <f t="shared" si="3"/>
        <v>At Risk</v>
      </c>
    </row>
    <row r="33" spans="1:15">
      <c r="A33">
        <v>32</v>
      </c>
      <c r="B33" t="s">
        <v>51</v>
      </c>
      <c r="C33" t="s">
        <v>16</v>
      </c>
      <c r="D33">
        <v>15</v>
      </c>
      <c r="E33" t="s">
        <v>20</v>
      </c>
      <c r="F33">
        <v>17</v>
      </c>
      <c r="G33">
        <v>36</v>
      </c>
      <c r="H33">
        <v>45</v>
      </c>
      <c r="I33">
        <v>27</v>
      </c>
      <c r="J33">
        <f t="shared" si="0"/>
        <v>125</v>
      </c>
      <c r="K33">
        <f t="shared" si="4"/>
        <v>31.25</v>
      </c>
      <c r="L33" s="3">
        <f t="shared" si="5"/>
        <v>0.3125</v>
      </c>
      <c r="M33" t="str">
        <f t="shared" si="1"/>
        <v>F</v>
      </c>
      <c r="N33" t="str">
        <f t="shared" si="2"/>
        <v>FAIL</v>
      </c>
      <c r="O33" t="str">
        <f t="shared" si="3"/>
        <v>At Risk</v>
      </c>
    </row>
    <row r="34" spans="1:15">
      <c r="A34">
        <v>33</v>
      </c>
      <c r="B34" t="s">
        <v>52</v>
      </c>
      <c r="C34" t="s">
        <v>16</v>
      </c>
      <c r="D34">
        <v>14</v>
      </c>
      <c r="E34" t="s">
        <v>17</v>
      </c>
      <c r="F34">
        <v>17</v>
      </c>
      <c r="G34">
        <v>74</v>
      </c>
      <c r="H34">
        <v>11</v>
      </c>
      <c r="I34">
        <v>49</v>
      </c>
      <c r="J34">
        <f t="shared" si="0"/>
        <v>151</v>
      </c>
      <c r="K34">
        <f t="shared" si="4"/>
        <v>37.75</v>
      </c>
      <c r="L34" s="3">
        <f t="shared" si="5"/>
        <v>0.3775</v>
      </c>
      <c r="M34" t="str">
        <f t="shared" si="1"/>
        <v>F</v>
      </c>
      <c r="N34" t="str">
        <f t="shared" si="2"/>
        <v>FAIL</v>
      </c>
      <c r="O34" t="str">
        <f t="shared" si="3"/>
        <v>At Risk</v>
      </c>
    </row>
    <row r="35" spans="1:15">
      <c r="A35">
        <v>34</v>
      </c>
      <c r="B35" t="s">
        <v>53</v>
      </c>
      <c r="C35" t="s">
        <v>16</v>
      </c>
      <c r="D35">
        <v>15</v>
      </c>
      <c r="E35" t="s">
        <v>20</v>
      </c>
      <c r="F35">
        <v>54</v>
      </c>
      <c r="G35">
        <v>18</v>
      </c>
      <c r="H35">
        <v>46</v>
      </c>
      <c r="I35">
        <v>17</v>
      </c>
      <c r="J35">
        <f t="shared" si="0"/>
        <v>135</v>
      </c>
      <c r="K35">
        <f t="shared" si="4"/>
        <v>33.75</v>
      </c>
      <c r="L35" s="3">
        <f t="shared" si="5"/>
        <v>0.33750000000000002</v>
      </c>
      <c r="M35" t="str">
        <f t="shared" si="1"/>
        <v>F</v>
      </c>
      <c r="N35" t="str">
        <f t="shared" si="2"/>
        <v>FAIL</v>
      </c>
      <c r="O35" t="str">
        <f t="shared" si="3"/>
        <v>At Risk</v>
      </c>
    </row>
    <row r="36" spans="1:15">
      <c r="A36">
        <v>35</v>
      </c>
      <c r="B36" t="s">
        <v>54</v>
      </c>
      <c r="C36" t="s">
        <v>16</v>
      </c>
      <c r="D36">
        <v>13</v>
      </c>
      <c r="E36" t="s">
        <v>20</v>
      </c>
      <c r="F36">
        <v>5</v>
      </c>
      <c r="G36">
        <v>75</v>
      </c>
      <c r="H36">
        <v>13</v>
      </c>
      <c r="I36">
        <v>61</v>
      </c>
      <c r="J36">
        <f t="shared" si="0"/>
        <v>154</v>
      </c>
      <c r="K36">
        <f t="shared" si="4"/>
        <v>38.5</v>
      </c>
      <c r="L36" s="3">
        <f t="shared" si="5"/>
        <v>0.38500000000000001</v>
      </c>
      <c r="M36" t="str">
        <f t="shared" si="1"/>
        <v>F</v>
      </c>
      <c r="N36" t="str">
        <f t="shared" si="2"/>
        <v>FAIL</v>
      </c>
      <c r="O36" t="str">
        <f t="shared" si="3"/>
        <v>At Risk</v>
      </c>
    </row>
    <row r="37" spans="1:15">
      <c r="A37">
        <v>36</v>
      </c>
      <c r="B37" t="s">
        <v>55</v>
      </c>
      <c r="C37" t="s">
        <v>16</v>
      </c>
      <c r="D37">
        <v>15</v>
      </c>
      <c r="E37" t="s">
        <v>17</v>
      </c>
      <c r="F37">
        <v>93</v>
      </c>
      <c r="G37">
        <v>53</v>
      </c>
      <c r="H37">
        <v>10</v>
      </c>
      <c r="I37">
        <v>29</v>
      </c>
      <c r="J37">
        <f t="shared" si="0"/>
        <v>185</v>
      </c>
      <c r="K37">
        <f t="shared" si="4"/>
        <v>46.25</v>
      </c>
      <c r="L37" s="3">
        <f t="shared" si="5"/>
        <v>0.46250000000000002</v>
      </c>
      <c r="M37" t="str">
        <f t="shared" si="1"/>
        <v>F</v>
      </c>
      <c r="N37" t="str">
        <f t="shared" si="2"/>
        <v>FAIL</v>
      </c>
      <c r="O37" t="str">
        <f t="shared" si="3"/>
        <v>At Risk</v>
      </c>
    </row>
    <row r="38" spans="1:15">
      <c r="A38">
        <v>37</v>
      </c>
      <c r="B38" t="s">
        <v>56</v>
      </c>
      <c r="C38" t="s">
        <v>16</v>
      </c>
      <c r="D38">
        <v>14</v>
      </c>
      <c r="E38" t="s">
        <v>24</v>
      </c>
      <c r="F38">
        <v>54</v>
      </c>
      <c r="G38">
        <v>23</v>
      </c>
      <c r="H38">
        <v>19</v>
      </c>
      <c r="I38">
        <v>94</v>
      </c>
      <c r="J38">
        <f t="shared" si="0"/>
        <v>190</v>
      </c>
      <c r="K38">
        <f t="shared" si="4"/>
        <v>47.5</v>
      </c>
      <c r="L38" s="3">
        <f t="shared" si="5"/>
        <v>0.47499999999999998</v>
      </c>
      <c r="M38" t="str">
        <f t="shared" si="1"/>
        <v>F</v>
      </c>
      <c r="N38" t="str">
        <f t="shared" si="2"/>
        <v>FAIL</v>
      </c>
      <c r="O38" t="str">
        <f t="shared" si="3"/>
        <v>At Risk</v>
      </c>
    </row>
    <row r="39" spans="1:15">
      <c r="A39">
        <v>38</v>
      </c>
      <c r="B39" t="s">
        <v>57</v>
      </c>
      <c r="C39" t="s">
        <v>19</v>
      </c>
      <c r="D39">
        <v>14</v>
      </c>
      <c r="E39" t="s">
        <v>17</v>
      </c>
      <c r="F39">
        <v>90</v>
      </c>
      <c r="G39">
        <v>62</v>
      </c>
      <c r="H39">
        <v>45</v>
      </c>
      <c r="I39">
        <v>21</v>
      </c>
      <c r="J39">
        <f t="shared" si="0"/>
        <v>218</v>
      </c>
      <c r="K39">
        <f t="shared" si="4"/>
        <v>54.5</v>
      </c>
      <c r="L39" s="3">
        <f t="shared" si="5"/>
        <v>0.54500000000000004</v>
      </c>
      <c r="M39" t="str">
        <f t="shared" si="1"/>
        <v>D</v>
      </c>
      <c r="N39" t="str">
        <f t="shared" si="2"/>
        <v>PASS</v>
      </c>
      <c r="O39" t="str">
        <f t="shared" si="3"/>
        <v>Needs Improvement</v>
      </c>
    </row>
    <row r="40" spans="1:15">
      <c r="A40">
        <v>39</v>
      </c>
      <c r="B40" t="s">
        <v>58</v>
      </c>
      <c r="C40" t="s">
        <v>16</v>
      </c>
      <c r="D40">
        <v>13</v>
      </c>
      <c r="E40" t="s">
        <v>24</v>
      </c>
      <c r="F40">
        <v>71</v>
      </c>
      <c r="G40">
        <v>90</v>
      </c>
      <c r="H40">
        <v>78</v>
      </c>
      <c r="I40">
        <v>35</v>
      </c>
      <c r="J40">
        <f t="shared" si="0"/>
        <v>274</v>
      </c>
      <c r="K40">
        <f t="shared" si="4"/>
        <v>68.5</v>
      </c>
      <c r="L40" s="3">
        <f t="shared" si="5"/>
        <v>0.68500000000000005</v>
      </c>
      <c r="M40" t="str">
        <f t="shared" si="1"/>
        <v>C</v>
      </c>
      <c r="N40" t="str">
        <f t="shared" si="2"/>
        <v>PASS</v>
      </c>
      <c r="O40" t="str">
        <f t="shared" si="3"/>
        <v>Needs Improvement</v>
      </c>
    </row>
    <row r="41" spans="1:15">
      <c r="A41">
        <v>40</v>
      </c>
      <c r="B41" t="s">
        <v>59</v>
      </c>
      <c r="C41" t="s">
        <v>19</v>
      </c>
      <c r="D41">
        <v>13</v>
      </c>
      <c r="E41" t="s">
        <v>20</v>
      </c>
      <c r="F41">
        <v>100</v>
      </c>
      <c r="G41">
        <v>52</v>
      </c>
      <c r="H41">
        <v>89</v>
      </c>
      <c r="I41">
        <v>76</v>
      </c>
      <c r="J41">
        <f t="shared" si="0"/>
        <v>317</v>
      </c>
      <c r="K41">
        <f t="shared" si="4"/>
        <v>79.25</v>
      </c>
      <c r="L41" s="3">
        <f t="shared" si="5"/>
        <v>0.79249999999999998</v>
      </c>
      <c r="M41" t="str">
        <f t="shared" si="1"/>
        <v>B</v>
      </c>
      <c r="N41" t="str">
        <f t="shared" si="2"/>
        <v>PASS</v>
      </c>
      <c r="O41" t="str">
        <f t="shared" si="3"/>
        <v>GOOD</v>
      </c>
    </row>
    <row r="42" spans="1:15">
      <c r="A42">
        <v>41</v>
      </c>
      <c r="B42" t="s">
        <v>60</v>
      </c>
      <c r="C42" t="s">
        <v>16</v>
      </c>
      <c r="D42">
        <v>15</v>
      </c>
      <c r="E42" t="s">
        <v>17</v>
      </c>
      <c r="F42">
        <v>10</v>
      </c>
      <c r="G42">
        <v>78</v>
      </c>
      <c r="H42">
        <v>56</v>
      </c>
      <c r="I42">
        <v>41</v>
      </c>
      <c r="J42">
        <f t="shared" si="0"/>
        <v>185</v>
      </c>
      <c r="K42">
        <f t="shared" si="4"/>
        <v>46.25</v>
      </c>
      <c r="L42" s="3">
        <f t="shared" si="5"/>
        <v>0.46250000000000002</v>
      </c>
      <c r="M42" t="str">
        <f t="shared" si="1"/>
        <v>F</v>
      </c>
      <c r="N42" t="str">
        <f t="shared" si="2"/>
        <v>FAIL</v>
      </c>
      <c r="O42" t="str">
        <f t="shared" si="3"/>
        <v>At Risk</v>
      </c>
    </row>
    <row r="43" spans="1:15">
      <c r="A43">
        <v>42</v>
      </c>
      <c r="B43" t="s">
        <v>61</v>
      </c>
      <c r="C43" t="s">
        <v>16</v>
      </c>
      <c r="D43">
        <v>13</v>
      </c>
      <c r="E43" t="s">
        <v>20</v>
      </c>
      <c r="F43">
        <v>21</v>
      </c>
      <c r="G43">
        <v>89</v>
      </c>
      <c r="H43">
        <v>72</v>
      </c>
      <c r="I43">
        <v>84</v>
      </c>
      <c r="J43">
        <f t="shared" si="0"/>
        <v>266</v>
      </c>
      <c r="K43">
        <f t="shared" si="4"/>
        <v>66.5</v>
      </c>
      <c r="L43" s="3">
        <f t="shared" si="5"/>
        <v>0.66500000000000004</v>
      </c>
      <c r="M43" t="str">
        <f t="shared" si="1"/>
        <v>C</v>
      </c>
      <c r="N43" t="str">
        <f t="shared" si="2"/>
        <v>PASS</v>
      </c>
      <c r="O43" t="str">
        <f t="shared" si="3"/>
        <v>Needs Improvement</v>
      </c>
    </row>
    <row r="44" spans="1:15">
      <c r="A44">
        <v>43</v>
      </c>
      <c r="B44" t="s">
        <v>62</v>
      </c>
      <c r="C44" t="s">
        <v>19</v>
      </c>
      <c r="D44">
        <v>15</v>
      </c>
      <c r="E44" t="s">
        <v>20</v>
      </c>
      <c r="F44">
        <v>43</v>
      </c>
      <c r="G44">
        <v>2</v>
      </c>
      <c r="H44">
        <v>17</v>
      </c>
      <c r="I44">
        <v>78</v>
      </c>
      <c r="J44">
        <f t="shared" si="0"/>
        <v>140</v>
      </c>
      <c r="K44">
        <f t="shared" si="4"/>
        <v>35</v>
      </c>
      <c r="L44" s="3">
        <f t="shared" si="5"/>
        <v>0.35</v>
      </c>
      <c r="M44" t="str">
        <f t="shared" si="1"/>
        <v>F</v>
      </c>
      <c r="N44" t="str">
        <f t="shared" si="2"/>
        <v>FAIL</v>
      </c>
      <c r="O44" t="str">
        <f t="shared" si="3"/>
        <v>At Risk</v>
      </c>
    </row>
    <row r="45" spans="1:15">
      <c r="A45">
        <v>44</v>
      </c>
      <c r="B45" t="s">
        <v>63</v>
      </c>
      <c r="C45" t="s">
        <v>16</v>
      </c>
      <c r="D45">
        <v>15</v>
      </c>
      <c r="E45" t="s">
        <v>20</v>
      </c>
      <c r="F45">
        <v>26</v>
      </c>
      <c r="G45">
        <v>46</v>
      </c>
      <c r="H45">
        <v>81</v>
      </c>
      <c r="I45">
        <v>63</v>
      </c>
      <c r="J45">
        <f t="shared" si="0"/>
        <v>216</v>
      </c>
      <c r="K45">
        <f t="shared" si="4"/>
        <v>54</v>
      </c>
      <c r="L45" s="3">
        <f t="shared" si="5"/>
        <v>0.54</v>
      </c>
      <c r="M45" t="str">
        <f t="shared" si="1"/>
        <v>D</v>
      </c>
      <c r="N45" t="str">
        <f t="shared" si="2"/>
        <v>PASS</v>
      </c>
      <c r="O45" t="str">
        <f t="shared" si="3"/>
        <v>Needs Improvement</v>
      </c>
    </row>
    <row r="46" spans="1:15">
      <c r="A46">
        <v>45</v>
      </c>
      <c r="B46" t="s">
        <v>64</v>
      </c>
      <c r="C46" t="s">
        <v>19</v>
      </c>
      <c r="D46">
        <v>15</v>
      </c>
      <c r="E46" t="s">
        <v>17</v>
      </c>
      <c r="F46">
        <v>65</v>
      </c>
      <c r="G46">
        <v>7</v>
      </c>
      <c r="H46">
        <v>57</v>
      </c>
      <c r="I46">
        <v>27</v>
      </c>
      <c r="J46">
        <f t="shared" si="0"/>
        <v>156</v>
      </c>
      <c r="K46">
        <f t="shared" si="4"/>
        <v>39</v>
      </c>
      <c r="L46" s="3">
        <f t="shared" si="5"/>
        <v>0.39</v>
      </c>
      <c r="M46" t="str">
        <f t="shared" si="1"/>
        <v>F</v>
      </c>
      <c r="N46" t="str">
        <f t="shared" si="2"/>
        <v>FAIL</v>
      </c>
      <c r="O46" t="str">
        <f t="shared" si="3"/>
        <v>At Risk</v>
      </c>
    </row>
    <row r="47" spans="1:15">
      <c r="A47">
        <v>46</v>
      </c>
      <c r="B47" t="s">
        <v>65</v>
      </c>
      <c r="C47" t="s">
        <v>19</v>
      </c>
      <c r="D47">
        <v>14</v>
      </c>
      <c r="E47" t="s">
        <v>24</v>
      </c>
      <c r="F47">
        <v>50</v>
      </c>
      <c r="G47">
        <v>22</v>
      </c>
      <c r="H47">
        <v>50</v>
      </c>
      <c r="I47">
        <v>78</v>
      </c>
      <c r="J47">
        <f t="shared" si="0"/>
        <v>200</v>
      </c>
      <c r="K47">
        <f t="shared" si="4"/>
        <v>50</v>
      </c>
      <c r="L47" s="3">
        <f t="shared" si="5"/>
        <v>0.5</v>
      </c>
      <c r="M47" t="str">
        <f t="shared" si="1"/>
        <v>D</v>
      </c>
      <c r="N47" t="str">
        <f t="shared" si="2"/>
        <v>PASS</v>
      </c>
      <c r="O47" t="str">
        <f t="shared" si="3"/>
        <v>Needs Improvement</v>
      </c>
    </row>
    <row r="48" spans="1:15">
      <c r="A48">
        <v>47</v>
      </c>
      <c r="B48" t="s">
        <v>66</v>
      </c>
      <c r="C48" t="s">
        <v>16</v>
      </c>
      <c r="D48">
        <v>14</v>
      </c>
      <c r="E48" t="s">
        <v>24</v>
      </c>
      <c r="F48">
        <v>84</v>
      </c>
      <c r="G48">
        <v>57</v>
      </c>
      <c r="H48">
        <v>25</v>
      </c>
      <c r="I48">
        <v>57</v>
      </c>
      <c r="J48">
        <f t="shared" si="0"/>
        <v>223</v>
      </c>
      <c r="K48">
        <f t="shared" si="4"/>
        <v>55.75</v>
      </c>
      <c r="L48" s="3">
        <f t="shared" si="5"/>
        <v>0.5575</v>
      </c>
      <c r="M48" t="str">
        <f t="shared" si="1"/>
        <v>D</v>
      </c>
      <c r="N48" t="str">
        <f t="shared" si="2"/>
        <v>PASS</v>
      </c>
      <c r="O48" t="str">
        <f t="shared" si="3"/>
        <v>Needs Improvement</v>
      </c>
    </row>
    <row r="49" spans="1:15">
      <c r="A49">
        <v>48</v>
      </c>
      <c r="B49" t="s">
        <v>67</v>
      </c>
      <c r="C49" t="s">
        <v>16</v>
      </c>
      <c r="D49">
        <v>15</v>
      </c>
      <c r="E49" t="s">
        <v>17</v>
      </c>
      <c r="F49">
        <v>78</v>
      </c>
      <c r="G49">
        <v>58</v>
      </c>
      <c r="H49">
        <v>1</v>
      </c>
      <c r="I49">
        <v>33</v>
      </c>
      <c r="J49">
        <f t="shared" si="0"/>
        <v>170</v>
      </c>
      <c r="K49">
        <f t="shared" si="4"/>
        <v>42.5</v>
      </c>
      <c r="L49" s="3">
        <f t="shared" si="5"/>
        <v>0.42499999999999999</v>
      </c>
      <c r="M49" t="str">
        <f t="shared" si="1"/>
        <v>F</v>
      </c>
      <c r="N49" t="str">
        <f t="shared" si="2"/>
        <v>FAIL</v>
      </c>
      <c r="O49" t="str">
        <f t="shared" si="3"/>
        <v>At Risk</v>
      </c>
    </row>
    <row r="50" spans="1:15">
      <c r="A50">
        <v>49</v>
      </c>
      <c r="B50" t="s">
        <v>68</v>
      </c>
      <c r="C50" t="s">
        <v>19</v>
      </c>
      <c r="D50">
        <v>13</v>
      </c>
      <c r="E50" t="s">
        <v>20</v>
      </c>
      <c r="F50">
        <v>81</v>
      </c>
      <c r="G50">
        <v>25</v>
      </c>
      <c r="H50">
        <v>99</v>
      </c>
      <c r="I50">
        <v>13</v>
      </c>
      <c r="J50">
        <f t="shared" si="0"/>
        <v>218</v>
      </c>
      <c r="K50">
        <f t="shared" si="4"/>
        <v>54.5</v>
      </c>
      <c r="L50" s="3">
        <f t="shared" si="5"/>
        <v>0.54500000000000004</v>
      </c>
      <c r="M50" t="str">
        <f t="shared" si="1"/>
        <v>D</v>
      </c>
      <c r="N50" t="str">
        <f t="shared" si="2"/>
        <v>PASS</v>
      </c>
      <c r="O50" t="str">
        <f t="shared" si="3"/>
        <v>Needs Improvement</v>
      </c>
    </row>
    <row r="51" spans="1:15">
      <c r="A51">
        <v>50</v>
      </c>
      <c r="B51" t="s">
        <v>69</v>
      </c>
      <c r="C51" t="s">
        <v>19</v>
      </c>
      <c r="D51">
        <v>14</v>
      </c>
      <c r="E51" t="s">
        <v>24</v>
      </c>
      <c r="F51">
        <v>94</v>
      </c>
      <c r="G51">
        <v>15</v>
      </c>
      <c r="H51">
        <v>66</v>
      </c>
      <c r="I51">
        <v>34</v>
      </c>
      <c r="J51">
        <f t="shared" si="0"/>
        <v>209</v>
      </c>
      <c r="K51">
        <f t="shared" si="4"/>
        <v>52.25</v>
      </c>
      <c r="L51" s="3">
        <f t="shared" si="5"/>
        <v>0.52249999999999996</v>
      </c>
      <c r="M51" t="str">
        <f t="shared" si="1"/>
        <v>D</v>
      </c>
      <c r="N51" t="str">
        <f t="shared" si="2"/>
        <v>PASS</v>
      </c>
      <c r="O51" t="str">
        <f t="shared" si="3"/>
        <v>Needs Improvement</v>
      </c>
    </row>
    <row r="52" spans="1:15">
      <c r="A52">
        <v>51</v>
      </c>
      <c r="B52" t="s">
        <v>70</v>
      </c>
      <c r="C52" t="s">
        <v>19</v>
      </c>
      <c r="D52">
        <v>14</v>
      </c>
      <c r="E52" t="s">
        <v>17</v>
      </c>
      <c r="F52">
        <v>31</v>
      </c>
      <c r="G52">
        <v>37</v>
      </c>
      <c r="H52">
        <v>77</v>
      </c>
      <c r="I52">
        <v>79</v>
      </c>
      <c r="J52">
        <f t="shared" si="0"/>
        <v>224</v>
      </c>
      <c r="K52">
        <f t="shared" si="4"/>
        <v>56</v>
      </c>
      <c r="L52" s="3">
        <f t="shared" si="5"/>
        <v>0.56000000000000005</v>
      </c>
      <c r="M52" t="str">
        <f t="shared" si="1"/>
        <v>D</v>
      </c>
      <c r="N52" t="str">
        <f t="shared" si="2"/>
        <v>PASS</v>
      </c>
      <c r="O52" t="str">
        <f t="shared" si="3"/>
        <v>Needs Improvement</v>
      </c>
    </row>
    <row r="53" spans="1:15">
      <c r="A53">
        <v>52</v>
      </c>
      <c r="B53" t="s">
        <v>71</v>
      </c>
      <c r="C53" t="s">
        <v>16</v>
      </c>
      <c r="D53">
        <v>13</v>
      </c>
      <c r="E53" t="s">
        <v>24</v>
      </c>
      <c r="F53">
        <v>17</v>
      </c>
      <c r="G53">
        <v>99</v>
      </c>
      <c r="H53">
        <v>29</v>
      </c>
      <c r="I53">
        <v>85</v>
      </c>
      <c r="J53">
        <f t="shared" si="0"/>
        <v>230</v>
      </c>
      <c r="K53">
        <f t="shared" si="4"/>
        <v>57.5</v>
      </c>
      <c r="L53" s="3">
        <f t="shared" si="5"/>
        <v>0.57499999999999996</v>
      </c>
      <c r="M53" t="str">
        <f t="shared" si="1"/>
        <v>D</v>
      </c>
      <c r="N53" t="str">
        <f t="shared" si="2"/>
        <v>PASS</v>
      </c>
      <c r="O53" t="str">
        <f t="shared" si="3"/>
        <v>Needs Improvement</v>
      </c>
    </row>
    <row r="54" spans="1:15">
      <c r="A54">
        <v>53</v>
      </c>
      <c r="B54" t="s">
        <v>72</v>
      </c>
      <c r="C54" t="s">
        <v>16</v>
      </c>
      <c r="D54">
        <v>15</v>
      </c>
      <c r="E54" t="s">
        <v>20</v>
      </c>
      <c r="F54">
        <v>15</v>
      </c>
      <c r="G54">
        <v>84</v>
      </c>
      <c r="H54">
        <v>40</v>
      </c>
      <c r="I54">
        <v>40</v>
      </c>
      <c r="J54">
        <f t="shared" si="0"/>
        <v>179</v>
      </c>
      <c r="K54">
        <f t="shared" si="4"/>
        <v>44.75</v>
      </c>
      <c r="L54" s="3">
        <f t="shared" si="5"/>
        <v>0.44750000000000001</v>
      </c>
      <c r="M54" t="str">
        <f t="shared" si="1"/>
        <v>F</v>
      </c>
      <c r="N54" t="str">
        <f t="shared" si="2"/>
        <v>FAIL</v>
      </c>
      <c r="O54" t="str">
        <f t="shared" si="3"/>
        <v>At Risk</v>
      </c>
    </row>
    <row r="55" spans="1:15">
      <c r="A55">
        <v>54</v>
      </c>
      <c r="B55" t="s">
        <v>73</v>
      </c>
      <c r="C55" t="s">
        <v>19</v>
      </c>
      <c r="D55">
        <v>15</v>
      </c>
      <c r="E55" t="s">
        <v>17</v>
      </c>
      <c r="F55">
        <v>23</v>
      </c>
      <c r="G55">
        <v>44</v>
      </c>
      <c r="H55">
        <v>76</v>
      </c>
      <c r="I55">
        <v>46</v>
      </c>
      <c r="J55">
        <f t="shared" si="0"/>
        <v>189</v>
      </c>
      <c r="K55">
        <f t="shared" si="4"/>
        <v>47.25</v>
      </c>
      <c r="L55" s="3">
        <f t="shared" si="5"/>
        <v>0.47249999999999998</v>
      </c>
      <c r="M55" t="str">
        <f t="shared" si="1"/>
        <v>F</v>
      </c>
      <c r="N55" t="str">
        <f t="shared" si="2"/>
        <v>FAIL</v>
      </c>
      <c r="O55" t="str">
        <f t="shared" si="3"/>
        <v>At Risk</v>
      </c>
    </row>
    <row r="56" spans="1:15">
      <c r="A56">
        <v>55</v>
      </c>
      <c r="B56" t="s">
        <v>74</v>
      </c>
      <c r="C56" t="s">
        <v>19</v>
      </c>
      <c r="D56">
        <v>15</v>
      </c>
      <c r="E56" t="s">
        <v>20</v>
      </c>
      <c r="F56">
        <v>55</v>
      </c>
      <c r="G56">
        <v>64</v>
      </c>
      <c r="H56">
        <v>56</v>
      </c>
      <c r="I56">
        <v>69</v>
      </c>
      <c r="J56">
        <f t="shared" si="0"/>
        <v>244</v>
      </c>
      <c r="K56">
        <f t="shared" si="4"/>
        <v>61</v>
      </c>
      <c r="L56" s="3">
        <f t="shared" si="5"/>
        <v>0.61</v>
      </c>
      <c r="M56" t="str">
        <f t="shared" si="1"/>
        <v>C</v>
      </c>
      <c r="N56" t="str">
        <f t="shared" si="2"/>
        <v>PASS</v>
      </c>
      <c r="O56" t="str">
        <f t="shared" si="3"/>
        <v>Needs Improvement</v>
      </c>
    </row>
    <row r="57" spans="1:15">
      <c r="A57">
        <v>56</v>
      </c>
      <c r="B57" t="s">
        <v>75</v>
      </c>
      <c r="C57" t="s">
        <v>16</v>
      </c>
      <c r="D57">
        <v>14</v>
      </c>
      <c r="E57" t="s">
        <v>20</v>
      </c>
      <c r="F57">
        <v>53</v>
      </c>
      <c r="G57">
        <v>53</v>
      </c>
      <c r="H57">
        <v>49</v>
      </c>
      <c r="I57">
        <v>43</v>
      </c>
      <c r="J57">
        <f t="shared" si="0"/>
        <v>198</v>
      </c>
      <c r="K57">
        <f t="shared" si="4"/>
        <v>49.5</v>
      </c>
      <c r="L57" s="3">
        <f t="shared" si="5"/>
        <v>0.495</v>
      </c>
      <c r="M57" t="str">
        <f t="shared" si="1"/>
        <v>F</v>
      </c>
      <c r="N57" t="str">
        <f t="shared" si="2"/>
        <v>FAIL</v>
      </c>
      <c r="O57" t="str">
        <f t="shared" si="3"/>
        <v>At Risk</v>
      </c>
    </row>
    <row r="58" spans="1:15">
      <c r="A58">
        <v>57</v>
      </c>
      <c r="B58" t="s">
        <v>76</v>
      </c>
      <c r="C58" t="s">
        <v>19</v>
      </c>
      <c r="D58">
        <v>15</v>
      </c>
      <c r="E58" t="s">
        <v>24</v>
      </c>
      <c r="F58">
        <v>46</v>
      </c>
      <c r="G58">
        <v>37</v>
      </c>
      <c r="H58">
        <v>63</v>
      </c>
      <c r="I58">
        <v>17</v>
      </c>
      <c r="J58">
        <f t="shared" si="0"/>
        <v>163</v>
      </c>
      <c r="K58">
        <f t="shared" si="4"/>
        <v>40.75</v>
      </c>
      <c r="L58" s="3">
        <f t="shared" si="5"/>
        <v>0.40749999999999997</v>
      </c>
      <c r="M58" t="str">
        <f t="shared" si="1"/>
        <v>F</v>
      </c>
      <c r="N58" t="str">
        <f t="shared" si="2"/>
        <v>FAIL</v>
      </c>
      <c r="O58" t="str">
        <f t="shared" si="3"/>
        <v>At Risk</v>
      </c>
    </row>
    <row r="59" spans="1:15">
      <c r="A59">
        <v>58</v>
      </c>
      <c r="B59" t="s">
        <v>77</v>
      </c>
      <c r="C59" t="s">
        <v>19</v>
      </c>
      <c r="D59">
        <v>14</v>
      </c>
      <c r="E59" t="s">
        <v>24</v>
      </c>
      <c r="F59">
        <v>64</v>
      </c>
      <c r="G59">
        <v>1</v>
      </c>
      <c r="H59">
        <v>74</v>
      </c>
      <c r="I59">
        <v>6</v>
      </c>
      <c r="J59">
        <f t="shared" si="0"/>
        <v>145</v>
      </c>
      <c r="K59">
        <f t="shared" si="4"/>
        <v>36.25</v>
      </c>
      <c r="L59" s="3">
        <f t="shared" si="5"/>
        <v>0.36249999999999999</v>
      </c>
      <c r="M59" t="str">
        <f t="shared" si="1"/>
        <v>F</v>
      </c>
      <c r="N59" t="str">
        <f t="shared" si="2"/>
        <v>FAIL</v>
      </c>
      <c r="O59" t="str">
        <f t="shared" si="3"/>
        <v>At Risk</v>
      </c>
    </row>
    <row r="60" spans="1:15">
      <c r="A60">
        <v>59</v>
      </c>
      <c r="B60" t="s">
        <v>78</v>
      </c>
      <c r="C60" t="s">
        <v>16</v>
      </c>
      <c r="D60">
        <v>14</v>
      </c>
      <c r="E60" t="s">
        <v>17</v>
      </c>
      <c r="F60">
        <v>41</v>
      </c>
      <c r="G60">
        <v>37</v>
      </c>
      <c r="H60">
        <v>26</v>
      </c>
      <c r="I60">
        <v>65</v>
      </c>
      <c r="J60">
        <f t="shared" si="0"/>
        <v>169</v>
      </c>
      <c r="K60">
        <f t="shared" si="4"/>
        <v>42.25</v>
      </c>
      <c r="L60" s="3">
        <f t="shared" si="5"/>
        <v>0.42249999999999999</v>
      </c>
      <c r="M60" t="str">
        <f t="shared" si="1"/>
        <v>F</v>
      </c>
      <c r="N60" t="str">
        <f t="shared" si="2"/>
        <v>FAIL</v>
      </c>
      <c r="O60" t="str">
        <f t="shared" si="3"/>
        <v>At Risk</v>
      </c>
    </row>
    <row r="61" spans="1:15">
      <c r="A61">
        <v>60</v>
      </c>
      <c r="B61" t="s">
        <v>79</v>
      </c>
      <c r="C61" t="s">
        <v>16</v>
      </c>
      <c r="D61">
        <v>14</v>
      </c>
      <c r="E61" t="s">
        <v>20</v>
      </c>
      <c r="F61">
        <v>61</v>
      </c>
      <c r="G61">
        <v>71</v>
      </c>
      <c r="H61">
        <v>77</v>
      </c>
      <c r="I61">
        <v>64</v>
      </c>
      <c r="J61">
        <f t="shared" si="0"/>
        <v>273</v>
      </c>
      <c r="K61">
        <f t="shared" si="4"/>
        <v>68.25</v>
      </c>
      <c r="L61" s="3">
        <f t="shared" si="5"/>
        <v>0.6825</v>
      </c>
      <c r="M61" t="str">
        <f t="shared" si="1"/>
        <v>C</v>
      </c>
      <c r="N61" t="str">
        <f t="shared" si="2"/>
        <v>PASS</v>
      </c>
      <c r="O61" t="str">
        <f t="shared" si="3"/>
        <v>Needs Improvement</v>
      </c>
    </row>
    <row r="62" spans="1:15">
      <c r="A62">
        <v>61</v>
      </c>
      <c r="B62" t="s">
        <v>80</v>
      </c>
      <c r="C62" t="s">
        <v>16</v>
      </c>
      <c r="D62">
        <v>14</v>
      </c>
      <c r="E62" t="s">
        <v>17</v>
      </c>
      <c r="F62">
        <v>16</v>
      </c>
      <c r="G62">
        <v>57</v>
      </c>
      <c r="H62">
        <v>90</v>
      </c>
      <c r="I62">
        <v>14</v>
      </c>
      <c r="J62">
        <f t="shared" si="0"/>
        <v>177</v>
      </c>
      <c r="K62">
        <f t="shared" si="4"/>
        <v>44.25</v>
      </c>
      <c r="L62" s="3">
        <f t="shared" si="5"/>
        <v>0.4425</v>
      </c>
      <c r="M62" t="str">
        <f t="shared" si="1"/>
        <v>F</v>
      </c>
      <c r="N62" t="str">
        <f t="shared" si="2"/>
        <v>FAIL</v>
      </c>
      <c r="O62" t="str">
        <f t="shared" si="3"/>
        <v>At Risk</v>
      </c>
    </row>
    <row r="63" spans="1:15">
      <c r="A63">
        <v>62</v>
      </c>
      <c r="B63" t="s">
        <v>81</v>
      </c>
      <c r="C63" t="s">
        <v>16</v>
      </c>
      <c r="D63">
        <v>13</v>
      </c>
      <c r="E63" t="s">
        <v>17</v>
      </c>
      <c r="F63">
        <v>49</v>
      </c>
      <c r="G63">
        <v>90</v>
      </c>
      <c r="H63">
        <v>13</v>
      </c>
      <c r="I63">
        <v>98</v>
      </c>
      <c r="J63">
        <f t="shared" si="0"/>
        <v>250</v>
      </c>
      <c r="K63">
        <f t="shared" si="4"/>
        <v>62.5</v>
      </c>
      <c r="L63" s="3">
        <f t="shared" si="5"/>
        <v>0.625</v>
      </c>
      <c r="M63" t="str">
        <f t="shared" si="1"/>
        <v>C</v>
      </c>
      <c r="N63" t="str">
        <f t="shared" si="2"/>
        <v>PASS</v>
      </c>
      <c r="O63" t="str">
        <f t="shared" si="3"/>
        <v>Needs Improvement</v>
      </c>
    </row>
    <row r="64" spans="1:15">
      <c r="A64">
        <v>63</v>
      </c>
      <c r="B64" t="s">
        <v>82</v>
      </c>
      <c r="C64" t="s">
        <v>19</v>
      </c>
      <c r="D64">
        <v>14</v>
      </c>
      <c r="E64" t="s">
        <v>24</v>
      </c>
      <c r="F64">
        <v>16</v>
      </c>
      <c r="G64">
        <v>45</v>
      </c>
      <c r="H64">
        <v>44</v>
      </c>
      <c r="I64">
        <v>5</v>
      </c>
      <c r="J64">
        <f t="shared" si="0"/>
        <v>110</v>
      </c>
      <c r="K64">
        <f t="shared" si="4"/>
        <v>27.5</v>
      </c>
      <c r="L64" s="3">
        <f t="shared" si="5"/>
        <v>0.27500000000000002</v>
      </c>
      <c r="M64" t="str">
        <f t="shared" si="1"/>
        <v>F</v>
      </c>
      <c r="N64" t="str">
        <f t="shared" si="2"/>
        <v>FAIL</v>
      </c>
      <c r="O64" t="str">
        <f t="shared" si="3"/>
        <v>At Risk</v>
      </c>
    </row>
    <row r="65" spans="1:15">
      <c r="A65">
        <v>64</v>
      </c>
      <c r="B65" t="s">
        <v>83</v>
      </c>
      <c r="C65" t="s">
        <v>19</v>
      </c>
      <c r="D65">
        <v>15</v>
      </c>
      <c r="E65" t="s">
        <v>20</v>
      </c>
      <c r="F65">
        <v>78</v>
      </c>
      <c r="G65">
        <v>74</v>
      </c>
      <c r="H65">
        <v>31</v>
      </c>
      <c r="I65">
        <v>85</v>
      </c>
      <c r="J65">
        <f t="shared" si="0"/>
        <v>268</v>
      </c>
      <c r="K65">
        <f t="shared" si="4"/>
        <v>67</v>
      </c>
      <c r="L65" s="3">
        <f t="shared" si="5"/>
        <v>0.67</v>
      </c>
      <c r="M65" t="str">
        <f t="shared" si="1"/>
        <v>C</v>
      </c>
      <c r="N65" t="str">
        <f t="shared" si="2"/>
        <v>PASS</v>
      </c>
      <c r="O65" t="str">
        <f t="shared" si="3"/>
        <v>Needs Improvement</v>
      </c>
    </row>
    <row r="66" spans="1:15">
      <c r="A66">
        <v>65</v>
      </c>
      <c r="B66" t="s">
        <v>84</v>
      </c>
      <c r="C66" t="s">
        <v>16</v>
      </c>
      <c r="D66">
        <v>14</v>
      </c>
      <c r="E66" t="s">
        <v>17</v>
      </c>
      <c r="F66">
        <v>88</v>
      </c>
      <c r="G66">
        <v>72</v>
      </c>
      <c r="H66">
        <v>31</v>
      </c>
      <c r="I66">
        <v>27</v>
      </c>
      <c r="J66">
        <f t="shared" ref="J66:J129" si="6">SUM(F66:I66)</f>
        <v>218</v>
      </c>
      <c r="K66">
        <f t="shared" si="4"/>
        <v>54.5</v>
      </c>
      <c r="L66" s="3">
        <f t="shared" ref="L66:L129" si="7">J66/400</f>
        <v>0.54500000000000004</v>
      </c>
      <c r="M66" t="str">
        <f t="shared" ref="M66:M129" si="8">IF(L66&gt;=90%,"A+", IF(L66&gt;=80%, "A", IF(L66&gt;=70%, "B", IF(L66&gt;=60%, "C", IF(L66&gt;=50%, "D", "F")))))</f>
        <v>D</v>
      </c>
      <c r="N66" t="str">
        <f t="shared" ref="N66:N129" si="9">IF(L66&gt;=50%, "PASS", "FAIL")</f>
        <v>PASS</v>
      </c>
      <c r="O66" t="str">
        <f t="shared" ref="O66:O129" si="10">IF(L66&gt;=85%, "EXCELLENT", IF(L66&gt;=70%, "GOOD", IF(L66&gt;=50%, "Needs Improvement", "At Risk")))</f>
        <v>Needs Improvement</v>
      </c>
    </row>
    <row r="67" spans="1:15">
      <c r="A67">
        <v>66</v>
      </c>
      <c r="B67" t="s">
        <v>85</v>
      </c>
      <c r="C67" t="s">
        <v>16</v>
      </c>
      <c r="D67">
        <v>14</v>
      </c>
      <c r="E67" t="s">
        <v>17</v>
      </c>
      <c r="F67">
        <v>85</v>
      </c>
      <c r="G67">
        <v>6</v>
      </c>
      <c r="H67">
        <v>10</v>
      </c>
      <c r="I67">
        <v>85</v>
      </c>
      <c r="J67">
        <f t="shared" si="6"/>
        <v>186</v>
      </c>
      <c r="K67">
        <f t="shared" ref="K67:K130" si="11">AVERAGE(F67:I67)</f>
        <v>46.5</v>
      </c>
      <c r="L67" s="3">
        <f t="shared" si="7"/>
        <v>0.46500000000000002</v>
      </c>
      <c r="M67" t="str">
        <f t="shared" si="8"/>
        <v>F</v>
      </c>
      <c r="N67" t="str">
        <f t="shared" si="9"/>
        <v>FAIL</v>
      </c>
      <c r="O67" t="str">
        <f t="shared" si="10"/>
        <v>At Risk</v>
      </c>
    </row>
    <row r="68" spans="1:15">
      <c r="A68">
        <v>67</v>
      </c>
      <c r="B68" t="s">
        <v>86</v>
      </c>
      <c r="C68" t="s">
        <v>16</v>
      </c>
      <c r="D68">
        <v>15</v>
      </c>
      <c r="E68" t="s">
        <v>17</v>
      </c>
      <c r="F68">
        <v>45</v>
      </c>
      <c r="G68">
        <v>41</v>
      </c>
      <c r="H68">
        <v>26</v>
      </c>
      <c r="I68">
        <v>12</v>
      </c>
      <c r="J68">
        <f t="shared" si="6"/>
        <v>124</v>
      </c>
      <c r="K68">
        <f t="shared" si="11"/>
        <v>31</v>
      </c>
      <c r="L68" s="3">
        <f t="shared" si="7"/>
        <v>0.31</v>
      </c>
      <c r="M68" t="str">
        <f t="shared" si="8"/>
        <v>F</v>
      </c>
      <c r="N68" t="str">
        <f t="shared" si="9"/>
        <v>FAIL</v>
      </c>
      <c r="O68" t="str">
        <f t="shared" si="10"/>
        <v>At Risk</v>
      </c>
    </row>
    <row r="69" spans="1:15">
      <c r="A69">
        <v>68</v>
      </c>
      <c r="B69" t="s">
        <v>87</v>
      </c>
      <c r="C69" t="s">
        <v>19</v>
      </c>
      <c r="D69">
        <v>15</v>
      </c>
      <c r="E69" t="s">
        <v>17</v>
      </c>
      <c r="F69">
        <v>39</v>
      </c>
      <c r="G69">
        <v>7</v>
      </c>
      <c r="H69">
        <v>100</v>
      </c>
      <c r="I69">
        <v>70</v>
      </c>
      <c r="J69">
        <f t="shared" si="6"/>
        <v>216</v>
      </c>
      <c r="K69">
        <f t="shared" si="11"/>
        <v>54</v>
      </c>
      <c r="L69" s="3">
        <f t="shared" si="7"/>
        <v>0.54</v>
      </c>
      <c r="M69" t="str">
        <f t="shared" si="8"/>
        <v>D</v>
      </c>
      <c r="N69" t="str">
        <f t="shared" si="9"/>
        <v>PASS</v>
      </c>
      <c r="O69" t="str">
        <f t="shared" si="10"/>
        <v>Needs Improvement</v>
      </c>
    </row>
    <row r="70" spans="1:15">
      <c r="A70">
        <v>69</v>
      </c>
      <c r="B70" t="s">
        <v>88</v>
      </c>
      <c r="C70" t="s">
        <v>16</v>
      </c>
      <c r="D70">
        <v>15</v>
      </c>
      <c r="E70" t="s">
        <v>24</v>
      </c>
      <c r="F70">
        <v>84</v>
      </c>
      <c r="G70">
        <v>97</v>
      </c>
      <c r="H70">
        <v>70</v>
      </c>
      <c r="I70">
        <v>96</v>
      </c>
      <c r="J70">
        <f t="shared" si="6"/>
        <v>347</v>
      </c>
      <c r="K70">
        <f t="shared" si="11"/>
        <v>86.75</v>
      </c>
      <c r="L70" s="3">
        <f t="shared" si="7"/>
        <v>0.86750000000000005</v>
      </c>
      <c r="M70" t="str">
        <f t="shared" si="8"/>
        <v>A</v>
      </c>
      <c r="N70" t="str">
        <f t="shared" si="9"/>
        <v>PASS</v>
      </c>
      <c r="O70" t="str">
        <f t="shared" si="10"/>
        <v>EXCELLENT</v>
      </c>
    </row>
    <row r="71" spans="1:15">
      <c r="A71">
        <v>70</v>
      </c>
      <c r="B71" t="s">
        <v>89</v>
      </c>
      <c r="C71" t="s">
        <v>16</v>
      </c>
      <c r="D71">
        <v>14</v>
      </c>
      <c r="E71" t="s">
        <v>20</v>
      </c>
      <c r="F71">
        <v>34</v>
      </c>
      <c r="G71">
        <v>71</v>
      </c>
      <c r="H71">
        <v>35</v>
      </c>
      <c r="I71">
        <v>47</v>
      </c>
      <c r="J71">
        <f t="shared" si="6"/>
        <v>187</v>
      </c>
      <c r="K71">
        <f t="shared" si="11"/>
        <v>46.75</v>
      </c>
      <c r="L71" s="3">
        <f t="shared" si="7"/>
        <v>0.46750000000000003</v>
      </c>
      <c r="M71" t="str">
        <f t="shared" si="8"/>
        <v>F</v>
      </c>
      <c r="N71" t="str">
        <f t="shared" si="9"/>
        <v>FAIL</v>
      </c>
      <c r="O71" t="str">
        <f t="shared" si="10"/>
        <v>At Risk</v>
      </c>
    </row>
    <row r="72" spans="1:15">
      <c r="A72">
        <v>71</v>
      </c>
      <c r="B72" t="s">
        <v>90</v>
      </c>
      <c r="C72" t="s">
        <v>16</v>
      </c>
      <c r="D72">
        <v>15</v>
      </c>
      <c r="E72" t="s">
        <v>17</v>
      </c>
      <c r="F72">
        <v>95</v>
      </c>
      <c r="G72">
        <v>32</v>
      </c>
      <c r="H72">
        <v>91</v>
      </c>
      <c r="I72">
        <v>48</v>
      </c>
      <c r="J72">
        <f t="shared" si="6"/>
        <v>266</v>
      </c>
      <c r="K72">
        <f t="shared" si="11"/>
        <v>66.5</v>
      </c>
      <c r="L72" s="3">
        <f t="shared" si="7"/>
        <v>0.66500000000000004</v>
      </c>
      <c r="M72" t="str">
        <f t="shared" si="8"/>
        <v>C</v>
      </c>
      <c r="N72" t="str">
        <f t="shared" si="9"/>
        <v>PASS</v>
      </c>
      <c r="O72" t="str">
        <f t="shared" si="10"/>
        <v>Needs Improvement</v>
      </c>
    </row>
    <row r="73" spans="1:15">
      <c r="A73">
        <v>72</v>
      </c>
      <c r="B73" t="s">
        <v>91</v>
      </c>
      <c r="C73" t="s">
        <v>19</v>
      </c>
      <c r="D73">
        <v>14</v>
      </c>
      <c r="E73" t="s">
        <v>17</v>
      </c>
      <c r="F73">
        <v>48</v>
      </c>
      <c r="G73">
        <v>59</v>
      </c>
      <c r="H73">
        <v>60</v>
      </c>
      <c r="I73">
        <v>58</v>
      </c>
      <c r="J73">
        <f t="shared" si="6"/>
        <v>225</v>
      </c>
      <c r="K73">
        <f t="shared" si="11"/>
        <v>56.25</v>
      </c>
      <c r="L73" s="3">
        <f t="shared" si="7"/>
        <v>0.5625</v>
      </c>
      <c r="M73" t="str">
        <f t="shared" si="8"/>
        <v>D</v>
      </c>
      <c r="N73" t="str">
        <f t="shared" si="9"/>
        <v>PASS</v>
      </c>
      <c r="O73" t="str">
        <f t="shared" si="10"/>
        <v>Needs Improvement</v>
      </c>
    </row>
    <row r="74" spans="1:15">
      <c r="A74">
        <v>73</v>
      </c>
      <c r="B74" t="s">
        <v>92</v>
      </c>
      <c r="C74" t="s">
        <v>19</v>
      </c>
      <c r="D74">
        <v>13</v>
      </c>
      <c r="E74" t="s">
        <v>24</v>
      </c>
      <c r="F74">
        <v>72</v>
      </c>
      <c r="G74">
        <v>78</v>
      </c>
      <c r="H74">
        <v>40</v>
      </c>
      <c r="I74">
        <v>78</v>
      </c>
      <c r="J74">
        <f t="shared" si="6"/>
        <v>268</v>
      </c>
      <c r="K74">
        <f t="shared" si="11"/>
        <v>67</v>
      </c>
      <c r="L74" s="3">
        <f t="shared" si="7"/>
        <v>0.67</v>
      </c>
      <c r="M74" t="str">
        <f t="shared" si="8"/>
        <v>C</v>
      </c>
      <c r="N74" t="str">
        <f t="shared" si="9"/>
        <v>PASS</v>
      </c>
      <c r="O74" t="str">
        <f t="shared" si="10"/>
        <v>Needs Improvement</v>
      </c>
    </row>
    <row r="75" spans="1:15">
      <c r="A75">
        <v>74</v>
      </c>
      <c r="B75" t="s">
        <v>93</v>
      </c>
      <c r="C75" t="s">
        <v>19</v>
      </c>
      <c r="D75">
        <v>13</v>
      </c>
      <c r="E75" t="s">
        <v>20</v>
      </c>
      <c r="F75">
        <v>46</v>
      </c>
      <c r="G75">
        <v>89</v>
      </c>
      <c r="H75">
        <v>83</v>
      </c>
      <c r="I75">
        <v>64</v>
      </c>
      <c r="J75">
        <f t="shared" si="6"/>
        <v>282</v>
      </c>
      <c r="K75">
        <f t="shared" si="11"/>
        <v>70.5</v>
      </c>
      <c r="L75" s="3">
        <f t="shared" si="7"/>
        <v>0.70499999999999996</v>
      </c>
      <c r="M75" t="str">
        <f t="shared" si="8"/>
        <v>B</v>
      </c>
      <c r="N75" t="str">
        <f t="shared" si="9"/>
        <v>PASS</v>
      </c>
      <c r="O75" t="str">
        <f t="shared" si="10"/>
        <v>GOOD</v>
      </c>
    </row>
    <row r="76" spans="1:15">
      <c r="A76">
        <v>75</v>
      </c>
      <c r="B76" t="s">
        <v>94</v>
      </c>
      <c r="C76" t="s">
        <v>16</v>
      </c>
      <c r="D76">
        <v>13</v>
      </c>
      <c r="E76" t="s">
        <v>20</v>
      </c>
      <c r="F76">
        <v>85</v>
      </c>
      <c r="G76">
        <v>10</v>
      </c>
      <c r="H76">
        <v>62</v>
      </c>
      <c r="I76">
        <v>62</v>
      </c>
      <c r="J76">
        <f t="shared" si="6"/>
        <v>219</v>
      </c>
      <c r="K76">
        <f t="shared" si="11"/>
        <v>54.75</v>
      </c>
      <c r="L76" s="3">
        <f t="shared" si="7"/>
        <v>0.54749999999999999</v>
      </c>
      <c r="M76" t="str">
        <f t="shared" si="8"/>
        <v>D</v>
      </c>
      <c r="N76" t="str">
        <f t="shared" si="9"/>
        <v>PASS</v>
      </c>
      <c r="O76" t="str">
        <f t="shared" si="10"/>
        <v>Needs Improvement</v>
      </c>
    </row>
    <row r="77" spans="1:15">
      <c r="A77">
        <v>76</v>
      </c>
      <c r="B77" t="s">
        <v>95</v>
      </c>
      <c r="C77" t="s">
        <v>19</v>
      </c>
      <c r="D77">
        <v>15</v>
      </c>
      <c r="E77" t="s">
        <v>17</v>
      </c>
      <c r="F77">
        <v>32</v>
      </c>
      <c r="G77">
        <v>31</v>
      </c>
      <c r="H77">
        <v>89</v>
      </c>
      <c r="I77">
        <v>30</v>
      </c>
      <c r="J77">
        <f t="shared" si="6"/>
        <v>182</v>
      </c>
      <c r="K77">
        <f t="shared" si="11"/>
        <v>45.5</v>
      </c>
      <c r="L77" s="3">
        <f t="shared" si="7"/>
        <v>0.45500000000000002</v>
      </c>
      <c r="M77" t="str">
        <f t="shared" si="8"/>
        <v>F</v>
      </c>
      <c r="N77" t="str">
        <f t="shared" si="9"/>
        <v>FAIL</v>
      </c>
      <c r="O77" t="str">
        <f t="shared" si="10"/>
        <v>At Risk</v>
      </c>
    </row>
    <row r="78" spans="1:15">
      <c r="A78">
        <v>77</v>
      </c>
      <c r="B78" t="s">
        <v>96</v>
      </c>
      <c r="C78" t="s">
        <v>16</v>
      </c>
      <c r="D78">
        <v>13</v>
      </c>
      <c r="E78" t="s">
        <v>20</v>
      </c>
      <c r="F78">
        <v>27</v>
      </c>
      <c r="G78">
        <v>2</v>
      </c>
      <c r="H78">
        <v>63</v>
      </c>
      <c r="I78">
        <v>100</v>
      </c>
      <c r="J78">
        <f t="shared" si="6"/>
        <v>192</v>
      </c>
      <c r="K78">
        <f t="shared" si="11"/>
        <v>48</v>
      </c>
      <c r="L78" s="3">
        <f t="shared" si="7"/>
        <v>0.48</v>
      </c>
      <c r="M78" t="str">
        <f t="shared" si="8"/>
        <v>F</v>
      </c>
      <c r="N78" t="str">
        <f t="shared" si="9"/>
        <v>FAIL</v>
      </c>
      <c r="O78" t="str">
        <f t="shared" si="10"/>
        <v>At Risk</v>
      </c>
    </row>
    <row r="79" spans="1:15">
      <c r="A79">
        <v>78</v>
      </c>
      <c r="B79" t="s">
        <v>97</v>
      </c>
      <c r="C79" t="s">
        <v>19</v>
      </c>
      <c r="D79">
        <v>15</v>
      </c>
      <c r="E79" t="s">
        <v>20</v>
      </c>
      <c r="F79">
        <v>87</v>
      </c>
      <c r="G79">
        <v>45</v>
      </c>
      <c r="H79">
        <v>73</v>
      </c>
      <c r="I79">
        <v>48</v>
      </c>
      <c r="J79">
        <f t="shared" si="6"/>
        <v>253</v>
      </c>
      <c r="K79">
        <f t="shared" si="11"/>
        <v>63.25</v>
      </c>
      <c r="L79" s="3">
        <f t="shared" si="7"/>
        <v>0.63249999999999995</v>
      </c>
      <c r="M79" t="str">
        <f t="shared" si="8"/>
        <v>C</v>
      </c>
      <c r="N79" t="str">
        <f t="shared" si="9"/>
        <v>PASS</v>
      </c>
      <c r="O79" t="str">
        <f t="shared" si="10"/>
        <v>Needs Improvement</v>
      </c>
    </row>
    <row r="80" spans="1:15">
      <c r="A80">
        <v>79</v>
      </c>
      <c r="B80" t="s">
        <v>98</v>
      </c>
      <c r="C80" t="s">
        <v>19</v>
      </c>
      <c r="D80">
        <v>13</v>
      </c>
      <c r="E80" t="s">
        <v>17</v>
      </c>
      <c r="F80">
        <v>27</v>
      </c>
      <c r="G80">
        <v>96</v>
      </c>
      <c r="H80">
        <v>89</v>
      </c>
      <c r="I80">
        <v>49</v>
      </c>
      <c r="J80">
        <f t="shared" si="6"/>
        <v>261</v>
      </c>
      <c r="K80">
        <f t="shared" si="11"/>
        <v>65.25</v>
      </c>
      <c r="L80" s="3">
        <f t="shared" si="7"/>
        <v>0.65249999999999997</v>
      </c>
      <c r="M80" t="str">
        <f t="shared" si="8"/>
        <v>C</v>
      </c>
      <c r="N80" t="str">
        <f t="shared" si="9"/>
        <v>PASS</v>
      </c>
      <c r="O80" t="str">
        <f t="shared" si="10"/>
        <v>Needs Improvement</v>
      </c>
    </row>
    <row r="81" spans="1:15">
      <c r="A81">
        <v>80</v>
      </c>
      <c r="B81" t="s">
        <v>99</v>
      </c>
      <c r="C81" t="s">
        <v>19</v>
      </c>
      <c r="D81">
        <v>13</v>
      </c>
      <c r="E81" t="s">
        <v>20</v>
      </c>
      <c r="F81">
        <v>13</v>
      </c>
      <c r="G81">
        <v>18</v>
      </c>
      <c r="H81">
        <v>80</v>
      </c>
      <c r="I81">
        <v>82</v>
      </c>
      <c r="J81">
        <f t="shared" si="6"/>
        <v>193</v>
      </c>
      <c r="K81">
        <f t="shared" si="11"/>
        <v>48.25</v>
      </c>
      <c r="L81" s="3">
        <f t="shared" si="7"/>
        <v>0.48249999999999998</v>
      </c>
      <c r="M81" t="str">
        <f t="shared" si="8"/>
        <v>F</v>
      </c>
      <c r="N81" t="str">
        <f t="shared" si="9"/>
        <v>FAIL</v>
      </c>
      <c r="O81" t="str">
        <f t="shared" si="10"/>
        <v>At Risk</v>
      </c>
    </row>
    <row r="82" spans="1:15">
      <c r="A82">
        <v>81</v>
      </c>
      <c r="B82" t="s">
        <v>100</v>
      </c>
      <c r="C82" t="s">
        <v>19</v>
      </c>
      <c r="D82">
        <v>15</v>
      </c>
      <c r="E82" t="s">
        <v>24</v>
      </c>
      <c r="F82">
        <v>1</v>
      </c>
      <c r="G82">
        <v>90</v>
      </c>
      <c r="H82">
        <v>42</v>
      </c>
      <c r="I82">
        <v>94</v>
      </c>
      <c r="J82">
        <f t="shared" si="6"/>
        <v>227</v>
      </c>
      <c r="K82">
        <f t="shared" si="11"/>
        <v>56.75</v>
      </c>
      <c r="L82" s="3">
        <f t="shared" si="7"/>
        <v>0.5675</v>
      </c>
      <c r="M82" t="str">
        <f t="shared" si="8"/>
        <v>D</v>
      </c>
      <c r="N82" t="str">
        <f t="shared" si="9"/>
        <v>PASS</v>
      </c>
      <c r="O82" t="str">
        <f t="shared" si="10"/>
        <v>Needs Improvement</v>
      </c>
    </row>
    <row r="83" spans="1:15">
      <c r="A83">
        <v>82</v>
      </c>
      <c r="B83" t="s">
        <v>101</v>
      </c>
      <c r="C83" t="s">
        <v>19</v>
      </c>
      <c r="D83">
        <v>15</v>
      </c>
      <c r="E83" t="s">
        <v>17</v>
      </c>
      <c r="F83">
        <v>84</v>
      </c>
      <c r="G83">
        <v>85</v>
      </c>
      <c r="H83">
        <v>14</v>
      </c>
      <c r="I83">
        <v>24</v>
      </c>
      <c r="J83">
        <f t="shared" si="6"/>
        <v>207</v>
      </c>
      <c r="K83">
        <f t="shared" si="11"/>
        <v>51.75</v>
      </c>
      <c r="L83" s="3">
        <f t="shared" si="7"/>
        <v>0.51749999999999996</v>
      </c>
      <c r="M83" t="str">
        <f t="shared" si="8"/>
        <v>D</v>
      </c>
      <c r="N83" t="str">
        <f t="shared" si="9"/>
        <v>PASS</v>
      </c>
      <c r="O83" t="str">
        <f t="shared" si="10"/>
        <v>Needs Improvement</v>
      </c>
    </row>
    <row r="84" spans="1:15">
      <c r="A84">
        <v>83</v>
      </c>
      <c r="B84" t="s">
        <v>102</v>
      </c>
      <c r="C84" t="s">
        <v>19</v>
      </c>
      <c r="D84">
        <v>14</v>
      </c>
      <c r="E84" t="s">
        <v>24</v>
      </c>
      <c r="F84">
        <v>59</v>
      </c>
      <c r="G84">
        <v>12</v>
      </c>
      <c r="H84">
        <v>45</v>
      </c>
      <c r="I84">
        <v>64</v>
      </c>
      <c r="J84">
        <f t="shared" si="6"/>
        <v>180</v>
      </c>
      <c r="K84">
        <f t="shared" si="11"/>
        <v>45</v>
      </c>
      <c r="L84" s="3">
        <f t="shared" si="7"/>
        <v>0.45</v>
      </c>
      <c r="M84" t="str">
        <f t="shared" si="8"/>
        <v>F</v>
      </c>
      <c r="N84" t="str">
        <f t="shared" si="9"/>
        <v>FAIL</v>
      </c>
      <c r="O84" t="str">
        <f t="shared" si="10"/>
        <v>At Risk</v>
      </c>
    </row>
    <row r="85" spans="1:15">
      <c r="A85">
        <v>84</v>
      </c>
      <c r="B85" t="s">
        <v>103</v>
      </c>
      <c r="C85" t="s">
        <v>19</v>
      </c>
      <c r="D85">
        <v>13</v>
      </c>
      <c r="E85" t="s">
        <v>17</v>
      </c>
      <c r="F85">
        <v>34</v>
      </c>
      <c r="G85">
        <v>18</v>
      </c>
      <c r="H85">
        <v>39</v>
      </c>
      <c r="I85">
        <v>94</v>
      </c>
      <c r="J85">
        <f t="shared" si="6"/>
        <v>185</v>
      </c>
      <c r="K85">
        <f t="shared" si="11"/>
        <v>46.25</v>
      </c>
      <c r="L85" s="3">
        <f t="shared" si="7"/>
        <v>0.46250000000000002</v>
      </c>
      <c r="M85" t="str">
        <f t="shared" si="8"/>
        <v>F</v>
      </c>
      <c r="N85" t="str">
        <f t="shared" si="9"/>
        <v>FAIL</v>
      </c>
      <c r="O85" t="str">
        <f t="shared" si="10"/>
        <v>At Risk</v>
      </c>
    </row>
    <row r="86" spans="1:15">
      <c r="A86">
        <v>85</v>
      </c>
      <c r="B86" t="s">
        <v>104</v>
      </c>
      <c r="C86" t="s">
        <v>16</v>
      </c>
      <c r="D86">
        <v>13</v>
      </c>
      <c r="E86" t="s">
        <v>17</v>
      </c>
      <c r="F86">
        <v>36</v>
      </c>
      <c r="G86">
        <v>95</v>
      </c>
      <c r="H86">
        <v>55</v>
      </c>
      <c r="I86">
        <v>46</v>
      </c>
      <c r="J86">
        <f t="shared" si="6"/>
        <v>232</v>
      </c>
      <c r="K86">
        <f t="shared" si="11"/>
        <v>58</v>
      </c>
      <c r="L86" s="3">
        <f t="shared" si="7"/>
        <v>0.57999999999999996</v>
      </c>
      <c r="M86" t="str">
        <f t="shared" si="8"/>
        <v>D</v>
      </c>
      <c r="N86" t="str">
        <f t="shared" si="9"/>
        <v>PASS</v>
      </c>
      <c r="O86" t="str">
        <f t="shared" si="10"/>
        <v>Needs Improvement</v>
      </c>
    </row>
    <row r="87" spans="1:15">
      <c r="A87">
        <v>86</v>
      </c>
      <c r="B87" t="s">
        <v>105</v>
      </c>
      <c r="C87" t="s">
        <v>19</v>
      </c>
      <c r="D87">
        <v>15</v>
      </c>
      <c r="E87" t="s">
        <v>17</v>
      </c>
      <c r="F87">
        <v>17</v>
      </c>
      <c r="G87">
        <v>75</v>
      </c>
      <c r="H87">
        <v>8</v>
      </c>
      <c r="I87">
        <v>71</v>
      </c>
      <c r="J87">
        <f t="shared" si="6"/>
        <v>171</v>
      </c>
      <c r="K87">
        <f t="shared" si="11"/>
        <v>42.75</v>
      </c>
      <c r="L87" s="3">
        <f t="shared" si="7"/>
        <v>0.42749999999999999</v>
      </c>
      <c r="M87" t="str">
        <f t="shared" si="8"/>
        <v>F</v>
      </c>
      <c r="N87" t="str">
        <f t="shared" si="9"/>
        <v>FAIL</v>
      </c>
      <c r="O87" t="str">
        <f t="shared" si="10"/>
        <v>At Risk</v>
      </c>
    </row>
    <row r="88" spans="1:15">
      <c r="A88">
        <v>87</v>
      </c>
      <c r="B88" t="s">
        <v>106</v>
      </c>
      <c r="C88" t="s">
        <v>16</v>
      </c>
      <c r="D88">
        <v>13</v>
      </c>
      <c r="E88" t="s">
        <v>24</v>
      </c>
      <c r="F88">
        <v>8</v>
      </c>
      <c r="G88">
        <v>72</v>
      </c>
      <c r="H88">
        <v>78</v>
      </c>
      <c r="I88">
        <v>14</v>
      </c>
      <c r="J88">
        <f t="shared" si="6"/>
        <v>172</v>
      </c>
      <c r="K88">
        <f t="shared" si="11"/>
        <v>43</v>
      </c>
      <c r="L88" s="3">
        <f t="shared" si="7"/>
        <v>0.43</v>
      </c>
      <c r="M88" t="str">
        <f t="shared" si="8"/>
        <v>F</v>
      </c>
      <c r="N88" t="str">
        <f t="shared" si="9"/>
        <v>FAIL</v>
      </c>
      <c r="O88" t="str">
        <f t="shared" si="10"/>
        <v>At Risk</v>
      </c>
    </row>
    <row r="89" spans="1:15">
      <c r="A89">
        <v>88</v>
      </c>
      <c r="B89" t="s">
        <v>107</v>
      </c>
      <c r="C89" t="s">
        <v>16</v>
      </c>
      <c r="D89">
        <v>15</v>
      </c>
      <c r="E89" t="s">
        <v>17</v>
      </c>
      <c r="F89">
        <v>44</v>
      </c>
      <c r="G89">
        <v>55</v>
      </c>
      <c r="H89">
        <v>51</v>
      </c>
      <c r="I89">
        <v>100</v>
      </c>
      <c r="J89">
        <f t="shared" si="6"/>
        <v>250</v>
      </c>
      <c r="K89">
        <f t="shared" si="11"/>
        <v>62.5</v>
      </c>
      <c r="L89" s="3">
        <f t="shared" si="7"/>
        <v>0.625</v>
      </c>
      <c r="M89" t="str">
        <f t="shared" si="8"/>
        <v>C</v>
      </c>
      <c r="N89" t="str">
        <f t="shared" si="9"/>
        <v>PASS</v>
      </c>
      <c r="O89" t="str">
        <f t="shared" si="10"/>
        <v>Needs Improvement</v>
      </c>
    </row>
    <row r="90" spans="1:15">
      <c r="A90">
        <v>89</v>
      </c>
      <c r="B90" t="s">
        <v>108</v>
      </c>
      <c r="C90" t="s">
        <v>16</v>
      </c>
      <c r="D90">
        <v>15</v>
      </c>
      <c r="E90" t="s">
        <v>24</v>
      </c>
      <c r="F90">
        <v>58</v>
      </c>
      <c r="G90">
        <v>16</v>
      </c>
      <c r="H90">
        <v>64</v>
      </c>
      <c r="I90">
        <v>67</v>
      </c>
      <c r="J90">
        <f t="shared" si="6"/>
        <v>205</v>
      </c>
      <c r="K90">
        <f t="shared" si="11"/>
        <v>51.25</v>
      </c>
      <c r="L90" s="3">
        <f t="shared" si="7"/>
        <v>0.51249999999999996</v>
      </c>
      <c r="M90" t="str">
        <f t="shared" si="8"/>
        <v>D</v>
      </c>
      <c r="N90" t="str">
        <f t="shared" si="9"/>
        <v>PASS</v>
      </c>
      <c r="O90" t="str">
        <f t="shared" si="10"/>
        <v>Needs Improvement</v>
      </c>
    </row>
    <row r="91" spans="1:15">
      <c r="A91">
        <v>90</v>
      </c>
      <c r="B91" t="s">
        <v>109</v>
      </c>
      <c r="C91" t="s">
        <v>19</v>
      </c>
      <c r="D91">
        <v>15</v>
      </c>
      <c r="E91" t="s">
        <v>17</v>
      </c>
      <c r="F91">
        <v>64</v>
      </c>
      <c r="G91">
        <v>20</v>
      </c>
      <c r="H91">
        <v>86</v>
      </c>
      <c r="I91">
        <v>84</v>
      </c>
      <c r="J91">
        <f t="shared" si="6"/>
        <v>254</v>
      </c>
      <c r="K91">
        <f t="shared" si="11"/>
        <v>63.5</v>
      </c>
      <c r="L91" s="3">
        <f t="shared" si="7"/>
        <v>0.63500000000000001</v>
      </c>
      <c r="M91" t="str">
        <f t="shared" si="8"/>
        <v>C</v>
      </c>
      <c r="N91" t="str">
        <f t="shared" si="9"/>
        <v>PASS</v>
      </c>
      <c r="O91" t="str">
        <f t="shared" si="10"/>
        <v>Needs Improvement</v>
      </c>
    </row>
    <row r="92" spans="1:15">
      <c r="A92">
        <v>91</v>
      </c>
      <c r="B92" t="s">
        <v>110</v>
      </c>
      <c r="C92" t="s">
        <v>19</v>
      </c>
      <c r="D92">
        <v>13</v>
      </c>
      <c r="E92" t="s">
        <v>17</v>
      </c>
      <c r="F92">
        <v>23</v>
      </c>
      <c r="G92">
        <v>2</v>
      </c>
      <c r="H92">
        <v>42</v>
      </c>
      <c r="I92">
        <v>43</v>
      </c>
      <c r="J92">
        <f t="shared" si="6"/>
        <v>110</v>
      </c>
      <c r="K92">
        <f t="shared" si="11"/>
        <v>27.5</v>
      </c>
      <c r="L92" s="3">
        <f t="shared" si="7"/>
        <v>0.27500000000000002</v>
      </c>
      <c r="M92" t="str">
        <f t="shared" si="8"/>
        <v>F</v>
      </c>
      <c r="N92" t="str">
        <f t="shared" si="9"/>
        <v>FAIL</v>
      </c>
      <c r="O92" t="str">
        <f t="shared" si="10"/>
        <v>At Risk</v>
      </c>
    </row>
    <row r="93" spans="1:15">
      <c r="A93">
        <v>92</v>
      </c>
      <c r="B93" t="s">
        <v>111</v>
      </c>
      <c r="C93" t="s">
        <v>16</v>
      </c>
      <c r="D93">
        <v>15</v>
      </c>
      <c r="E93" t="s">
        <v>24</v>
      </c>
      <c r="F93">
        <v>79</v>
      </c>
      <c r="G93">
        <v>82</v>
      </c>
      <c r="H93">
        <v>99</v>
      </c>
      <c r="I93">
        <v>81</v>
      </c>
      <c r="J93">
        <f t="shared" si="6"/>
        <v>341</v>
      </c>
      <c r="K93">
        <f t="shared" si="11"/>
        <v>85.25</v>
      </c>
      <c r="L93" s="3">
        <f t="shared" si="7"/>
        <v>0.85250000000000004</v>
      </c>
      <c r="M93" t="str">
        <f t="shared" si="8"/>
        <v>A</v>
      </c>
      <c r="N93" t="str">
        <f t="shared" si="9"/>
        <v>PASS</v>
      </c>
      <c r="O93" t="str">
        <f t="shared" si="10"/>
        <v>EXCELLENT</v>
      </c>
    </row>
    <row r="94" spans="1:15">
      <c r="A94">
        <v>93</v>
      </c>
      <c r="B94" t="s">
        <v>112</v>
      </c>
      <c r="C94" t="s">
        <v>16</v>
      </c>
      <c r="D94">
        <v>15</v>
      </c>
      <c r="E94" t="s">
        <v>24</v>
      </c>
      <c r="F94">
        <v>22</v>
      </c>
      <c r="G94">
        <v>86</v>
      </c>
      <c r="H94">
        <v>9</v>
      </c>
      <c r="I94">
        <v>38</v>
      </c>
      <c r="J94">
        <f t="shared" si="6"/>
        <v>155</v>
      </c>
      <c r="K94">
        <f t="shared" si="11"/>
        <v>38.75</v>
      </c>
      <c r="L94" s="3">
        <f t="shared" si="7"/>
        <v>0.38750000000000001</v>
      </c>
      <c r="M94" t="str">
        <f t="shared" si="8"/>
        <v>F</v>
      </c>
      <c r="N94" t="str">
        <f t="shared" si="9"/>
        <v>FAIL</v>
      </c>
      <c r="O94" t="str">
        <f t="shared" si="10"/>
        <v>At Risk</v>
      </c>
    </row>
    <row r="95" spans="1:15">
      <c r="A95">
        <v>94</v>
      </c>
      <c r="B95" t="s">
        <v>113</v>
      </c>
      <c r="C95" t="s">
        <v>16</v>
      </c>
      <c r="D95">
        <v>13</v>
      </c>
      <c r="E95" t="s">
        <v>24</v>
      </c>
      <c r="F95">
        <v>43</v>
      </c>
      <c r="G95">
        <v>65</v>
      </c>
      <c r="H95">
        <v>18</v>
      </c>
      <c r="I95">
        <v>26</v>
      </c>
      <c r="J95">
        <f t="shared" si="6"/>
        <v>152</v>
      </c>
      <c r="K95">
        <f t="shared" si="11"/>
        <v>38</v>
      </c>
      <c r="L95" s="3">
        <f t="shared" si="7"/>
        <v>0.38</v>
      </c>
      <c r="M95" t="str">
        <f t="shared" si="8"/>
        <v>F</v>
      </c>
      <c r="N95" t="str">
        <f t="shared" si="9"/>
        <v>FAIL</v>
      </c>
      <c r="O95" t="str">
        <f t="shared" si="10"/>
        <v>At Risk</v>
      </c>
    </row>
    <row r="96" spans="1:15">
      <c r="A96">
        <v>95</v>
      </c>
      <c r="B96" t="s">
        <v>114</v>
      </c>
      <c r="C96" t="s">
        <v>19</v>
      </c>
      <c r="D96">
        <v>14</v>
      </c>
      <c r="E96" t="s">
        <v>24</v>
      </c>
      <c r="F96">
        <v>64</v>
      </c>
      <c r="G96">
        <v>18</v>
      </c>
      <c r="H96">
        <v>73</v>
      </c>
      <c r="I96">
        <v>37</v>
      </c>
      <c r="J96">
        <f t="shared" si="6"/>
        <v>192</v>
      </c>
      <c r="K96">
        <f t="shared" si="11"/>
        <v>48</v>
      </c>
      <c r="L96" s="3">
        <f t="shared" si="7"/>
        <v>0.48</v>
      </c>
      <c r="M96" t="str">
        <f t="shared" si="8"/>
        <v>F</v>
      </c>
      <c r="N96" t="str">
        <f t="shared" si="9"/>
        <v>FAIL</v>
      </c>
      <c r="O96" t="str">
        <f t="shared" si="10"/>
        <v>At Risk</v>
      </c>
    </row>
    <row r="97" spans="1:15">
      <c r="A97">
        <v>96</v>
      </c>
      <c r="B97" t="s">
        <v>115</v>
      </c>
      <c r="C97" t="s">
        <v>16</v>
      </c>
      <c r="D97">
        <v>15</v>
      </c>
      <c r="E97" t="s">
        <v>24</v>
      </c>
      <c r="F97">
        <v>58</v>
      </c>
      <c r="G97">
        <v>10</v>
      </c>
      <c r="H97">
        <v>99</v>
      </c>
      <c r="I97">
        <v>44</v>
      </c>
      <c r="J97">
        <f t="shared" si="6"/>
        <v>211</v>
      </c>
      <c r="K97">
        <f t="shared" si="11"/>
        <v>52.75</v>
      </c>
      <c r="L97" s="3">
        <f t="shared" si="7"/>
        <v>0.52749999999999997</v>
      </c>
      <c r="M97" t="str">
        <f t="shared" si="8"/>
        <v>D</v>
      </c>
      <c r="N97" t="str">
        <f t="shared" si="9"/>
        <v>PASS</v>
      </c>
      <c r="O97" t="str">
        <f t="shared" si="10"/>
        <v>Needs Improvement</v>
      </c>
    </row>
    <row r="98" spans="1:15">
      <c r="A98">
        <v>97</v>
      </c>
      <c r="B98" t="s">
        <v>116</v>
      </c>
      <c r="C98" t="s">
        <v>19</v>
      </c>
      <c r="D98">
        <v>13</v>
      </c>
      <c r="E98" t="s">
        <v>24</v>
      </c>
      <c r="F98">
        <v>19</v>
      </c>
      <c r="G98">
        <v>98</v>
      </c>
      <c r="H98">
        <v>13</v>
      </c>
      <c r="I98">
        <v>86</v>
      </c>
      <c r="J98">
        <f t="shared" si="6"/>
        <v>216</v>
      </c>
      <c r="K98">
        <f t="shared" si="11"/>
        <v>54</v>
      </c>
      <c r="L98" s="3">
        <f t="shared" si="7"/>
        <v>0.54</v>
      </c>
      <c r="M98" t="str">
        <f t="shared" si="8"/>
        <v>D</v>
      </c>
      <c r="N98" t="str">
        <f t="shared" si="9"/>
        <v>PASS</v>
      </c>
      <c r="O98" t="str">
        <f t="shared" si="10"/>
        <v>Needs Improvement</v>
      </c>
    </row>
    <row r="99" spans="1:15">
      <c r="A99">
        <v>98</v>
      </c>
      <c r="B99" t="s">
        <v>117</v>
      </c>
      <c r="C99" t="s">
        <v>19</v>
      </c>
      <c r="D99">
        <v>14</v>
      </c>
      <c r="E99" t="s">
        <v>24</v>
      </c>
      <c r="F99">
        <v>40</v>
      </c>
      <c r="G99">
        <v>61</v>
      </c>
      <c r="H99">
        <v>63</v>
      </c>
      <c r="I99">
        <v>80</v>
      </c>
      <c r="J99">
        <f t="shared" si="6"/>
        <v>244</v>
      </c>
      <c r="K99">
        <f t="shared" si="11"/>
        <v>61</v>
      </c>
      <c r="L99" s="3">
        <f t="shared" si="7"/>
        <v>0.61</v>
      </c>
      <c r="M99" t="str">
        <f t="shared" si="8"/>
        <v>C</v>
      </c>
      <c r="N99" t="str">
        <f t="shared" si="9"/>
        <v>PASS</v>
      </c>
      <c r="O99" t="str">
        <f t="shared" si="10"/>
        <v>Needs Improvement</v>
      </c>
    </row>
    <row r="100" spans="1:15">
      <c r="A100">
        <v>99</v>
      </c>
      <c r="B100" t="s">
        <v>118</v>
      </c>
      <c r="C100" t="s">
        <v>19</v>
      </c>
      <c r="D100">
        <v>14</v>
      </c>
      <c r="E100" t="s">
        <v>17</v>
      </c>
      <c r="F100">
        <v>72</v>
      </c>
      <c r="G100">
        <v>51</v>
      </c>
      <c r="H100">
        <v>50</v>
      </c>
      <c r="I100">
        <v>11</v>
      </c>
      <c r="J100">
        <f t="shared" si="6"/>
        <v>184</v>
      </c>
      <c r="K100">
        <f t="shared" si="11"/>
        <v>46</v>
      </c>
      <c r="L100" s="3">
        <f t="shared" si="7"/>
        <v>0.46</v>
      </c>
      <c r="M100" t="str">
        <f t="shared" si="8"/>
        <v>F</v>
      </c>
      <c r="N100" t="str">
        <f t="shared" si="9"/>
        <v>FAIL</v>
      </c>
      <c r="O100" t="str">
        <f t="shared" si="10"/>
        <v>At Risk</v>
      </c>
    </row>
    <row r="101" spans="1:15">
      <c r="A101">
        <v>100</v>
      </c>
      <c r="B101" t="s">
        <v>119</v>
      </c>
      <c r="C101" t="s">
        <v>16</v>
      </c>
      <c r="D101">
        <v>15</v>
      </c>
      <c r="E101" t="s">
        <v>24</v>
      </c>
      <c r="F101">
        <v>66</v>
      </c>
      <c r="G101">
        <v>20</v>
      </c>
      <c r="H101">
        <v>76</v>
      </c>
      <c r="I101">
        <v>30</v>
      </c>
      <c r="J101">
        <f t="shared" si="6"/>
        <v>192</v>
      </c>
      <c r="K101">
        <f t="shared" si="11"/>
        <v>48</v>
      </c>
      <c r="L101" s="3">
        <f t="shared" si="7"/>
        <v>0.48</v>
      </c>
      <c r="M101" t="str">
        <f t="shared" si="8"/>
        <v>F</v>
      </c>
      <c r="N101" t="str">
        <f t="shared" si="9"/>
        <v>FAIL</v>
      </c>
      <c r="O101" t="str">
        <f t="shared" si="10"/>
        <v>At Risk</v>
      </c>
    </row>
    <row r="102" spans="1:15">
      <c r="A102">
        <v>101</v>
      </c>
      <c r="B102" t="s">
        <v>120</v>
      </c>
      <c r="C102" t="s">
        <v>19</v>
      </c>
      <c r="D102">
        <v>14</v>
      </c>
      <c r="E102" t="s">
        <v>24</v>
      </c>
      <c r="F102">
        <v>64</v>
      </c>
      <c r="G102">
        <v>68</v>
      </c>
      <c r="H102">
        <v>89</v>
      </c>
      <c r="I102">
        <v>43</v>
      </c>
      <c r="J102">
        <f t="shared" si="6"/>
        <v>264</v>
      </c>
      <c r="K102">
        <f t="shared" si="11"/>
        <v>66</v>
      </c>
      <c r="L102" s="3">
        <f t="shared" si="7"/>
        <v>0.66</v>
      </c>
      <c r="M102" t="str">
        <f t="shared" si="8"/>
        <v>C</v>
      </c>
      <c r="N102" t="str">
        <f t="shared" si="9"/>
        <v>PASS</v>
      </c>
      <c r="O102" t="str">
        <f t="shared" si="10"/>
        <v>Needs Improvement</v>
      </c>
    </row>
    <row r="103" spans="1:15">
      <c r="A103">
        <v>102</v>
      </c>
      <c r="B103" t="s">
        <v>121</v>
      </c>
      <c r="C103" t="s">
        <v>16</v>
      </c>
      <c r="D103">
        <v>13</v>
      </c>
      <c r="E103" t="s">
        <v>20</v>
      </c>
      <c r="F103">
        <v>80</v>
      </c>
      <c r="G103">
        <v>28</v>
      </c>
      <c r="H103">
        <v>53</v>
      </c>
      <c r="I103">
        <v>67</v>
      </c>
      <c r="J103">
        <f t="shared" si="6"/>
        <v>228</v>
      </c>
      <c r="K103">
        <f t="shared" si="11"/>
        <v>57</v>
      </c>
      <c r="L103" s="3">
        <f t="shared" si="7"/>
        <v>0.56999999999999995</v>
      </c>
      <c r="M103" t="str">
        <f t="shared" si="8"/>
        <v>D</v>
      </c>
      <c r="N103" t="str">
        <f t="shared" si="9"/>
        <v>PASS</v>
      </c>
      <c r="O103" t="str">
        <f t="shared" si="10"/>
        <v>Needs Improvement</v>
      </c>
    </row>
    <row r="104" spans="1:15">
      <c r="A104">
        <v>103</v>
      </c>
      <c r="B104" t="s">
        <v>122</v>
      </c>
      <c r="C104" t="s">
        <v>16</v>
      </c>
      <c r="D104">
        <v>13</v>
      </c>
      <c r="E104" t="s">
        <v>17</v>
      </c>
      <c r="F104">
        <v>2</v>
      </c>
      <c r="G104">
        <v>19</v>
      </c>
      <c r="H104">
        <v>48</v>
      </c>
      <c r="I104">
        <v>52</v>
      </c>
      <c r="J104">
        <f t="shared" si="6"/>
        <v>121</v>
      </c>
      <c r="K104">
        <f t="shared" si="11"/>
        <v>30.25</v>
      </c>
      <c r="L104" s="3">
        <f t="shared" si="7"/>
        <v>0.30249999999999999</v>
      </c>
      <c r="M104" t="str">
        <f t="shared" si="8"/>
        <v>F</v>
      </c>
      <c r="N104" t="str">
        <f t="shared" si="9"/>
        <v>FAIL</v>
      </c>
      <c r="O104" t="str">
        <f t="shared" si="10"/>
        <v>At Risk</v>
      </c>
    </row>
    <row r="105" spans="1:15">
      <c r="A105">
        <v>104</v>
      </c>
      <c r="B105" t="s">
        <v>123</v>
      </c>
      <c r="C105" t="s">
        <v>19</v>
      </c>
      <c r="D105">
        <v>15</v>
      </c>
      <c r="E105" t="s">
        <v>24</v>
      </c>
      <c r="F105">
        <v>37</v>
      </c>
      <c r="G105">
        <v>57</v>
      </c>
      <c r="H105">
        <v>48</v>
      </c>
      <c r="I105">
        <v>75</v>
      </c>
      <c r="J105">
        <f t="shared" si="6"/>
        <v>217</v>
      </c>
      <c r="K105">
        <f t="shared" si="11"/>
        <v>54.25</v>
      </c>
      <c r="L105" s="3">
        <f t="shared" si="7"/>
        <v>0.54249999999999998</v>
      </c>
      <c r="M105" t="str">
        <f t="shared" si="8"/>
        <v>D</v>
      </c>
      <c r="N105" t="str">
        <f t="shared" si="9"/>
        <v>PASS</v>
      </c>
      <c r="O105" t="str">
        <f t="shared" si="10"/>
        <v>Needs Improvement</v>
      </c>
    </row>
    <row r="106" spans="1:15">
      <c r="A106">
        <v>105</v>
      </c>
      <c r="B106" t="s">
        <v>124</v>
      </c>
      <c r="C106" t="s">
        <v>19</v>
      </c>
      <c r="D106">
        <v>13</v>
      </c>
      <c r="E106" t="s">
        <v>20</v>
      </c>
      <c r="F106">
        <v>68</v>
      </c>
      <c r="G106">
        <v>97</v>
      </c>
      <c r="H106">
        <v>31</v>
      </c>
      <c r="I106">
        <v>48</v>
      </c>
      <c r="J106">
        <f t="shared" si="6"/>
        <v>244</v>
      </c>
      <c r="K106">
        <f t="shared" si="11"/>
        <v>61</v>
      </c>
      <c r="L106" s="3">
        <f t="shared" si="7"/>
        <v>0.61</v>
      </c>
      <c r="M106" t="str">
        <f t="shared" si="8"/>
        <v>C</v>
      </c>
      <c r="N106" t="str">
        <f t="shared" si="9"/>
        <v>PASS</v>
      </c>
      <c r="O106" t="str">
        <f t="shared" si="10"/>
        <v>Needs Improvement</v>
      </c>
    </row>
    <row r="107" spans="1:15">
      <c r="A107">
        <v>106</v>
      </c>
      <c r="B107" t="s">
        <v>125</v>
      </c>
      <c r="C107" t="s">
        <v>16</v>
      </c>
      <c r="D107">
        <v>14</v>
      </c>
      <c r="E107" t="s">
        <v>17</v>
      </c>
      <c r="F107">
        <v>62</v>
      </c>
      <c r="G107">
        <v>4</v>
      </c>
      <c r="H107">
        <v>75</v>
      </c>
      <c r="I107">
        <v>32</v>
      </c>
      <c r="J107">
        <f t="shared" si="6"/>
        <v>173</v>
      </c>
      <c r="K107">
        <f t="shared" si="11"/>
        <v>43.25</v>
      </c>
      <c r="L107" s="3">
        <f t="shared" si="7"/>
        <v>0.4325</v>
      </c>
      <c r="M107" t="str">
        <f t="shared" si="8"/>
        <v>F</v>
      </c>
      <c r="N107" t="str">
        <f t="shared" si="9"/>
        <v>FAIL</v>
      </c>
      <c r="O107" t="str">
        <f t="shared" si="10"/>
        <v>At Risk</v>
      </c>
    </row>
    <row r="108" spans="1:15">
      <c r="A108">
        <v>107</v>
      </c>
      <c r="B108" t="s">
        <v>126</v>
      </c>
      <c r="C108" t="s">
        <v>16</v>
      </c>
      <c r="D108">
        <v>14</v>
      </c>
      <c r="E108" t="s">
        <v>17</v>
      </c>
      <c r="F108">
        <v>57</v>
      </c>
      <c r="G108">
        <v>68</v>
      </c>
      <c r="H108">
        <v>13</v>
      </c>
      <c r="I108">
        <v>74</v>
      </c>
      <c r="J108">
        <f t="shared" si="6"/>
        <v>212</v>
      </c>
      <c r="K108">
        <f t="shared" si="11"/>
        <v>53</v>
      </c>
      <c r="L108" s="3">
        <f t="shared" si="7"/>
        <v>0.53</v>
      </c>
      <c r="M108" t="str">
        <f t="shared" si="8"/>
        <v>D</v>
      </c>
      <c r="N108" t="str">
        <f t="shared" si="9"/>
        <v>PASS</v>
      </c>
      <c r="O108" t="str">
        <f t="shared" si="10"/>
        <v>Needs Improvement</v>
      </c>
    </row>
    <row r="109" spans="1:15">
      <c r="A109">
        <v>108</v>
      </c>
      <c r="B109" t="s">
        <v>127</v>
      </c>
      <c r="C109" t="s">
        <v>16</v>
      </c>
      <c r="D109">
        <v>14</v>
      </c>
      <c r="E109" t="s">
        <v>20</v>
      </c>
      <c r="F109">
        <v>56</v>
      </c>
      <c r="G109">
        <v>75</v>
      </c>
      <c r="H109">
        <v>5</v>
      </c>
      <c r="I109">
        <v>40</v>
      </c>
      <c r="J109">
        <f t="shared" si="6"/>
        <v>176</v>
      </c>
      <c r="K109">
        <f t="shared" si="11"/>
        <v>44</v>
      </c>
      <c r="L109" s="3">
        <f t="shared" si="7"/>
        <v>0.44</v>
      </c>
      <c r="M109" t="str">
        <f t="shared" si="8"/>
        <v>F</v>
      </c>
      <c r="N109" t="str">
        <f t="shared" si="9"/>
        <v>FAIL</v>
      </c>
      <c r="O109" t="str">
        <f t="shared" si="10"/>
        <v>At Risk</v>
      </c>
    </row>
    <row r="110" spans="1:15">
      <c r="A110">
        <v>109</v>
      </c>
      <c r="B110" t="s">
        <v>128</v>
      </c>
      <c r="C110" t="s">
        <v>19</v>
      </c>
      <c r="D110">
        <v>14</v>
      </c>
      <c r="E110" t="s">
        <v>17</v>
      </c>
      <c r="F110">
        <v>11</v>
      </c>
      <c r="G110">
        <v>30</v>
      </c>
      <c r="H110">
        <v>83</v>
      </c>
      <c r="I110">
        <v>17</v>
      </c>
      <c r="J110">
        <f t="shared" si="6"/>
        <v>141</v>
      </c>
      <c r="K110">
        <f t="shared" si="11"/>
        <v>35.25</v>
      </c>
      <c r="L110" s="3">
        <f t="shared" si="7"/>
        <v>0.35249999999999998</v>
      </c>
      <c r="M110" t="str">
        <f t="shared" si="8"/>
        <v>F</v>
      </c>
      <c r="N110" t="str">
        <f t="shared" si="9"/>
        <v>FAIL</v>
      </c>
      <c r="O110" t="str">
        <f t="shared" si="10"/>
        <v>At Risk</v>
      </c>
    </row>
    <row r="111" spans="1:15">
      <c r="A111">
        <v>110</v>
      </c>
      <c r="B111" t="s">
        <v>129</v>
      </c>
      <c r="C111" t="s">
        <v>16</v>
      </c>
      <c r="D111">
        <v>14</v>
      </c>
      <c r="E111" t="s">
        <v>20</v>
      </c>
      <c r="F111">
        <v>82</v>
      </c>
      <c r="G111">
        <v>54</v>
      </c>
      <c r="H111">
        <v>31</v>
      </c>
      <c r="I111">
        <v>18</v>
      </c>
      <c r="J111">
        <f t="shared" si="6"/>
        <v>185</v>
      </c>
      <c r="K111">
        <f t="shared" si="11"/>
        <v>46.25</v>
      </c>
      <c r="L111" s="3">
        <f t="shared" si="7"/>
        <v>0.46250000000000002</v>
      </c>
      <c r="M111" t="str">
        <f t="shared" si="8"/>
        <v>F</v>
      </c>
      <c r="N111" t="str">
        <f t="shared" si="9"/>
        <v>FAIL</v>
      </c>
      <c r="O111" t="str">
        <f t="shared" si="10"/>
        <v>At Risk</v>
      </c>
    </row>
    <row r="112" spans="1:15">
      <c r="A112">
        <v>111</v>
      </c>
      <c r="B112" t="s">
        <v>130</v>
      </c>
      <c r="C112" t="s">
        <v>19</v>
      </c>
      <c r="D112">
        <v>13</v>
      </c>
      <c r="E112" t="s">
        <v>24</v>
      </c>
      <c r="F112">
        <v>2</v>
      </c>
      <c r="G112">
        <v>39</v>
      </c>
      <c r="H112">
        <v>13</v>
      </c>
      <c r="I112">
        <v>69</v>
      </c>
      <c r="J112">
        <f t="shared" si="6"/>
        <v>123</v>
      </c>
      <c r="K112">
        <f t="shared" si="11"/>
        <v>30.75</v>
      </c>
      <c r="L112" s="3">
        <f t="shared" si="7"/>
        <v>0.3075</v>
      </c>
      <c r="M112" t="str">
        <f t="shared" si="8"/>
        <v>F</v>
      </c>
      <c r="N112" t="str">
        <f t="shared" si="9"/>
        <v>FAIL</v>
      </c>
      <c r="O112" t="str">
        <f t="shared" si="10"/>
        <v>At Risk</v>
      </c>
    </row>
    <row r="113" spans="1:15">
      <c r="A113">
        <v>112</v>
      </c>
      <c r="B113" t="s">
        <v>131</v>
      </c>
      <c r="C113" t="s">
        <v>16</v>
      </c>
      <c r="D113">
        <v>15</v>
      </c>
      <c r="E113" t="s">
        <v>24</v>
      </c>
      <c r="F113">
        <v>23</v>
      </c>
      <c r="G113">
        <v>65</v>
      </c>
      <c r="H113">
        <v>72</v>
      </c>
      <c r="I113">
        <v>51</v>
      </c>
      <c r="J113">
        <f t="shared" si="6"/>
        <v>211</v>
      </c>
      <c r="K113">
        <f t="shared" si="11"/>
        <v>52.75</v>
      </c>
      <c r="L113" s="3">
        <f t="shared" si="7"/>
        <v>0.52749999999999997</v>
      </c>
      <c r="M113" t="str">
        <f t="shared" si="8"/>
        <v>D</v>
      </c>
      <c r="N113" t="str">
        <f t="shared" si="9"/>
        <v>PASS</v>
      </c>
      <c r="O113" t="str">
        <f t="shared" si="10"/>
        <v>Needs Improvement</v>
      </c>
    </row>
    <row r="114" spans="1:15">
      <c r="A114">
        <v>113</v>
      </c>
      <c r="B114" t="s">
        <v>132</v>
      </c>
      <c r="C114" t="s">
        <v>19</v>
      </c>
      <c r="D114">
        <v>13</v>
      </c>
      <c r="E114" t="s">
        <v>17</v>
      </c>
      <c r="F114">
        <v>22</v>
      </c>
      <c r="G114">
        <v>78</v>
      </c>
      <c r="H114">
        <v>77</v>
      </c>
      <c r="I114">
        <v>26</v>
      </c>
      <c r="J114">
        <f t="shared" si="6"/>
        <v>203</v>
      </c>
      <c r="K114">
        <f t="shared" si="11"/>
        <v>50.75</v>
      </c>
      <c r="L114" s="3">
        <f t="shared" si="7"/>
        <v>0.50749999999999995</v>
      </c>
      <c r="M114" t="str">
        <f t="shared" si="8"/>
        <v>D</v>
      </c>
      <c r="N114" t="str">
        <f t="shared" si="9"/>
        <v>PASS</v>
      </c>
      <c r="O114" t="str">
        <f t="shared" si="10"/>
        <v>Needs Improvement</v>
      </c>
    </row>
    <row r="115" spans="1:15">
      <c r="A115">
        <v>114</v>
      </c>
      <c r="B115" t="s">
        <v>133</v>
      </c>
      <c r="C115" t="s">
        <v>19</v>
      </c>
      <c r="D115">
        <v>14</v>
      </c>
      <c r="E115" t="s">
        <v>24</v>
      </c>
      <c r="F115">
        <v>41</v>
      </c>
      <c r="G115">
        <v>52</v>
      </c>
      <c r="H115">
        <v>29</v>
      </c>
      <c r="I115">
        <v>21</v>
      </c>
      <c r="J115">
        <f t="shared" si="6"/>
        <v>143</v>
      </c>
      <c r="K115">
        <f t="shared" si="11"/>
        <v>35.75</v>
      </c>
      <c r="L115" s="3">
        <f t="shared" si="7"/>
        <v>0.35749999999999998</v>
      </c>
      <c r="M115" t="str">
        <f t="shared" si="8"/>
        <v>F</v>
      </c>
      <c r="N115" t="str">
        <f t="shared" si="9"/>
        <v>FAIL</v>
      </c>
      <c r="O115" t="str">
        <f t="shared" si="10"/>
        <v>At Risk</v>
      </c>
    </row>
    <row r="116" spans="1:15">
      <c r="A116">
        <v>115</v>
      </c>
      <c r="B116" t="s">
        <v>134</v>
      </c>
      <c r="C116" t="s">
        <v>16</v>
      </c>
      <c r="D116">
        <v>13</v>
      </c>
      <c r="E116" t="s">
        <v>17</v>
      </c>
      <c r="F116">
        <v>23</v>
      </c>
      <c r="G116">
        <v>13</v>
      </c>
      <c r="H116">
        <v>28</v>
      </c>
      <c r="I116">
        <v>69</v>
      </c>
      <c r="J116">
        <f t="shared" si="6"/>
        <v>133</v>
      </c>
      <c r="K116">
        <f t="shared" si="11"/>
        <v>33.25</v>
      </c>
      <c r="L116" s="3">
        <f t="shared" si="7"/>
        <v>0.33250000000000002</v>
      </c>
      <c r="M116" t="str">
        <f t="shared" si="8"/>
        <v>F</v>
      </c>
      <c r="N116" t="str">
        <f t="shared" si="9"/>
        <v>FAIL</v>
      </c>
      <c r="O116" t="str">
        <f t="shared" si="10"/>
        <v>At Risk</v>
      </c>
    </row>
    <row r="117" spans="1:15">
      <c r="A117">
        <v>116</v>
      </c>
      <c r="B117" t="s">
        <v>135</v>
      </c>
      <c r="C117" t="s">
        <v>19</v>
      </c>
      <c r="D117">
        <v>14</v>
      </c>
      <c r="E117" t="s">
        <v>24</v>
      </c>
      <c r="F117">
        <v>80</v>
      </c>
      <c r="G117">
        <v>92</v>
      </c>
      <c r="H117">
        <v>53</v>
      </c>
      <c r="I117">
        <v>30</v>
      </c>
      <c r="J117">
        <f t="shared" si="6"/>
        <v>255</v>
      </c>
      <c r="K117">
        <f t="shared" si="11"/>
        <v>63.75</v>
      </c>
      <c r="L117" s="3">
        <f t="shared" si="7"/>
        <v>0.63749999999999996</v>
      </c>
      <c r="M117" t="str">
        <f t="shared" si="8"/>
        <v>C</v>
      </c>
      <c r="N117" t="str">
        <f t="shared" si="9"/>
        <v>PASS</v>
      </c>
      <c r="O117" t="str">
        <f t="shared" si="10"/>
        <v>Needs Improvement</v>
      </c>
    </row>
    <row r="118" spans="1:15">
      <c r="A118">
        <v>117</v>
      </c>
      <c r="B118" t="s">
        <v>136</v>
      </c>
      <c r="C118" t="s">
        <v>19</v>
      </c>
      <c r="D118">
        <v>14</v>
      </c>
      <c r="E118" t="s">
        <v>24</v>
      </c>
      <c r="F118">
        <v>63</v>
      </c>
      <c r="G118">
        <v>74</v>
      </c>
      <c r="H118">
        <v>46</v>
      </c>
      <c r="I118">
        <v>76</v>
      </c>
      <c r="J118">
        <f t="shared" si="6"/>
        <v>259</v>
      </c>
      <c r="K118">
        <f t="shared" si="11"/>
        <v>64.75</v>
      </c>
      <c r="L118" s="3">
        <f t="shared" si="7"/>
        <v>0.64749999999999996</v>
      </c>
      <c r="M118" t="str">
        <f t="shared" si="8"/>
        <v>C</v>
      </c>
      <c r="N118" t="str">
        <f t="shared" si="9"/>
        <v>PASS</v>
      </c>
      <c r="O118" t="str">
        <f t="shared" si="10"/>
        <v>Needs Improvement</v>
      </c>
    </row>
    <row r="119" spans="1:15">
      <c r="A119">
        <v>118</v>
      </c>
      <c r="B119" t="s">
        <v>137</v>
      </c>
      <c r="C119" t="s">
        <v>16</v>
      </c>
      <c r="D119">
        <v>14</v>
      </c>
      <c r="E119" t="s">
        <v>20</v>
      </c>
      <c r="F119">
        <v>90</v>
      </c>
      <c r="G119">
        <v>22</v>
      </c>
      <c r="H119">
        <v>2</v>
      </c>
      <c r="I119">
        <v>12</v>
      </c>
      <c r="J119">
        <f t="shared" si="6"/>
        <v>126</v>
      </c>
      <c r="K119">
        <f t="shared" si="11"/>
        <v>31.5</v>
      </c>
      <c r="L119" s="3">
        <f t="shared" si="7"/>
        <v>0.315</v>
      </c>
      <c r="M119" t="str">
        <f t="shared" si="8"/>
        <v>F</v>
      </c>
      <c r="N119" t="str">
        <f t="shared" si="9"/>
        <v>FAIL</v>
      </c>
      <c r="O119" t="str">
        <f t="shared" si="10"/>
        <v>At Risk</v>
      </c>
    </row>
    <row r="120" spans="1:15">
      <c r="A120">
        <v>119</v>
      </c>
      <c r="B120" t="s">
        <v>138</v>
      </c>
      <c r="C120" t="s">
        <v>16</v>
      </c>
      <c r="D120">
        <v>13</v>
      </c>
      <c r="E120" t="s">
        <v>17</v>
      </c>
      <c r="F120">
        <v>2</v>
      </c>
      <c r="G120">
        <v>60</v>
      </c>
      <c r="H120">
        <v>67</v>
      </c>
      <c r="I120">
        <v>29</v>
      </c>
      <c r="J120">
        <f t="shared" si="6"/>
        <v>158</v>
      </c>
      <c r="K120">
        <f t="shared" si="11"/>
        <v>39.5</v>
      </c>
      <c r="L120" s="3">
        <f t="shared" si="7"/>
        <v>0.39500000000000002</v>
      </c>
      <c r="M120" t="str">
        <f t="shared" si="8"/>
        <v>F</v>
      </c>
      <c r="N120" t="str">
        <f t="shared" si="9"/>
        <v>FAIL</v>
      </c>
      <c r="O120" t="str">
        <f t="shared" si="10"/>
        <v>At Risk</v>
      </c>
    </row>
    <row r="121" spans="1:15">
      <c r="A121">
        <v>120</v>
      </c>
      <c r="B121" t="s">
        <v>139</v>
      </c>
      <c r="C121" t="s">
        <v>19</v>
      </c>
      <c r="D121">
        <v>14</v>
      </c>
      <c r="E121" t="s">
        <v>24</v>
      </c>
      <c r="F121">
        <v>80</v>
      </c>
      <c r="G121">
        <v>34</v>
      </c>
      <c r="H121">
        <v>85</v>
      </c>
      <c r="I121">
        <v>71</v>
      </c>
      <c r="J121">
        <f t="shared" si="6"/>
        <v>270</v>
      </c>
      <c r="K121">
        <f t="shared" si="11"/>
        <v>67.5</v>
      </c>
      <c r="L121" s="3">
        <f t="shared" si="7"/>
        <v>0.67500000000000004</v>
      </c>
      <c r="M121" t="str">
        <f t="shared" si="8"/>
        <v>C</v>
      </c>
      <c r="N121" t="str">
        <f t="shared" si="9"/>
        <v>PASS</v>
      </c>
      <c r="O121" t="str">
        <f t="shared" si="10"/>
        <v>Needs Improvement</v>
      </c>
    </row>
    <row r="122" spans="1:15">
      <c r="A122">
        <v>121</v>
      </c>
      <c r="B122" t="s">
        <v>140</v>
      </c>
      <c r="C122" t="s">
        <v>19</v>
      </c>
      <c r="D122">
        <v>13</v>
      </c>
      <c r="E122" t="s">
        <v>24</v>
      </c>
      <c r="F122">
        <v>79</v>
      </c>
      <c r="G122">
        <v>88</v>
      </c>
      <c r="H122">
        <v>96</v>
      </c>
      <c r="I122">
        <v>93</v>
      </c>
      <c r="J122">
        <f t="shared" si="6"/>
        <v>356</v>
      </c>
      <c r="K122">
        <f t="shared" si="11"/>
        <v>89</v>
      </c>
      <c r="L122" s="3">
        <f t="shared" si="7"/>
        <v>0.89</v>
      </c>
      <c r="M122" t="str">
        <f t="shared" si="8"/>
        <v>A</v>
      </c>
      <c r="N122" t="str">
        <f t="shared" si="9"/>
        <v>PASS</v>
      </c>
      <c r="O122" t="str">
        <f t="shared" si="10"/>
        <v>EXCELLENT</v>
      </c>
    </row>
    <row r="123" spans="1:15">
      <c r="A123">
        <v>122</v>
      </c>
      <c r="B123" t="s">
        <v>141</v>
      </c>
      <c r="C123" t="s">
        <v>19</v>
      </c>
      <c r="D123">
        <v>14</v>
      </c>
      <c r="E123" t="s">
        <v>17</v>
      </c>
      <c r="F123">
        <v>4</v>
      </c>
      <c r="G123">
        <v>37</v>
      </c>
      <c r="H123">
        <v>50</v>
      </c>
      <c r="I123">
        <v>47</v>
      </c>
      <c r="J123">
        <f t="shared" si="6"/>
        <v>138</v>
      </c>
      <c r="K123">
        <f t="shared" si="11"/>
        <v>34.5</v>
      </c>
      <c r="L123" s="3">
        <f t="shared" si="7"/>
        <v>0.34499999999999997</v>
      </c>
      <c r="M123" t="str">
        <f t="shared" si="8"/>
        <v>F</v>
      </c>
      <c r="N123" t="str">
        <f t="shared" si="9"/>
        <v>FAIL</v>
      </c>
      <c r="O123" t="str">
        <f t="shared" si="10"/>
        <v>At Risk</v>
      </c>
    </row>
    <row r="124" spans="1:15">
      <c r="A124">
        <v>123</v>
      </c>
      <c r="B124" t="s">
        <v>142</v>
      </c>
      <c r="C124" t="s">
        <v>19</v>
      </c>
      <c r="D124">
        <v>13</v>
      </c>
      <c r="E124" t="s">
        <v>24</v>
      </c>
      <c r="F124">
        <v>18</v>
      </c>
      <c r="G124">
        <v>100</v>
      </c>
      <c r="H124">
        <v>39</v>
      </c>
      <c r="I124">
        <v>8</v>
      </c>
      <c r="J124">
        <f t="shared" si="6"/>
        <v>165</v>
      </c>
      <c r="K124">
        <f t="shared" si="11"/>
        <v>41.25</v>
      </c>
      <c r="L124" s="3">
        <f t="shared" si="7"/>
        <v>0.41249999999999998</v>
      </c>
      <c r="M124" t="str">
        <f t="shared" si="8"/>
        <v>F</v>
      </c>
      <c r="N124" t="str">
        <f t="shared" si="9"/>
        <v>FAIL</v>
      </c>
      <c r="O124" t="str">
        <f t="shared" si="10"/>
        <v>At Risk</v>
      </c>
    </row>
    <row r="125" spans="1:15">
      <c r="A125">
        <v>124</v>
      </c>
      <c r="B125" t="s">
        <v>143</v>
      </c>
      <c r="C125" t="s">
        <v>16</v>
      </c>
      <c r="D125">
        <v>15</v>
      </c>
      <c r="E125" t="s">
        <v>20</v>
      </c>
      <c r="F125">
        <v>70</v>
      </c>
      <c r="G125">
        <v>75</v>
      </c>
      <c r="H125">
        <v>21</v>
      </c>
      <c r="I125">
        <v>99</v>
      </c>
      <c r="J125">
        <f t="shared" si="6"/>
        <v>265</v>
      </c>
      <c r="K125">
        <f t="shared" si="11"/>
        <v>66.25</v>
      </c>
      <c r="L125" s="3">
        <f t="shared" si="7"/>
        <v>0.66249999999999998</v>
      </c>
      <c r="M125" t="str">
        <f t="shared" si="8"/>
        <v>C</v>
      </c>
      <c r="N125" t="str">
        <f t="shared" si="9"/>
        <v>PASS</v>
      </c>
      <c r="O125" t="str">
        <f t="shared" si="10"/>
        <v>Needs Improvement</v>
      </c>
    </row>
    <row r="126" spans="1:15">
      <c r="A126">
        <v>125</v>
      </c>
      <c r="B126" t="s">
        <v>144</v>
      </c>
      <c r="C126" t="s">
        <v>19</v>
      </c>
      <c r="D126">
        <v>14</v>
      </c>
      <c r="E126" t="s">
        <v>20</v>
      </c>
      <c r="F126">
        <v>68</v>
      </c>
      <c r="G126">
        <v>20</v>
      </c>
      <c r="H126">
        <v>21</v>
      </c>
      <c r="I126">
        <v>81</v>
      </c>
      <c r="J126">
        <f t="shared" si="6"/>
        <v>190</v>
      </c>
      <c r="K126">
        <f t="shared" si="11"/>
        <v>47.5</v>
      </c>
      <c r="L126" s="3">
        <f t="shared" si="7"/>
        <v>0.47499999999999998</v>
      </c>
      <c r="M126" t="str">
        <f t="shared" si="8"/>
        <v>F</v>
      </c>
      <c r="N126" t="str">
        <f t="shared" si="9"/>
        <v>FAIL</v>
      </c>
      <c r="O126" t="str">
        <f t="shared" si="10"/>
        <v>At Risk</v>
      </c>
    </row>
    <row r="127" spans="1:15">
      <c r="A127">
        <v>126</v>
      </c>
      <c r="B127" t="s">
        <v>145</v>
      </c>
      <c r="C127" t="s">
        <v>19</v>
      </c>
      <c r="D127">
        <v>15</v>
      </c>
      <c r="E127" t="s">
        <v>24</v>
      </c>
      <c r="F127">
        <v>29</v>
      </c>
      <c r="G127">
        <v>6</v>
      </c>
      <c r="H127">
        <v>43</v>
      </c>
      <c r="I127">
        <v>85</v>
      </c>
      <c r="J127">
        <f t="shared" si="6"/>
        <v>163</v>
      </c>
      <c r="K127">
        <f t="shared" si="11"/>
        <v>40.75</v>
      </c>
      <c r="L127" s="3">
        <f t="shared" si="7"/>
        <v>0.40749999999999997</v>
      </c>
      <c r="M127" t="str">
        <f t="shared" si="8"/>
        <v>F</v>
      </c>
      <c r="N127" t="str">
        <f t="shared" si="9"/>
        <v>FAIL</v>
      </c>
      <c r="O127" t="str">
        <f t="shared" si="10"/>
        <v>At Risk</v>
      </c>
    </row>
    <row r="128" spans="1:15">
      <c r="A128">
        <v>127</v>
      </c>
      <c r="B128" t="s">
        <v>146</v>
      </c>
      <c r="C128" t="s">
        <v>19</v>
      </c>
      <c r="D128">
        <v>14</v>
      </c>
      <c r="E128" t="s">
        <v>20</v>
      </c>
      <c r="F128">
        <v>76</v>
      </c>
      <c r="G128">
        <v>36</v>
      </c>
      <c r="H128">
        <v>32</v>
      </c>
      <c r="I128">
        <v>47</v>
      </c>
      <c r="J128">
        <f t="shared" si="6"/>
        <v>191</v>
      </c>
      <c r="K128">
        <f t="shared" si="11"/>
        <v>47.75</v>
      </c>
      <c r="L128" s="3">
        <f t="shared" si="7"/>
        <v>0.47749999999999998</v>
      </c>
      <c r="M128" t="str">
        <f t="shared" si="8"/>
        <v>F</v>
      </c>
      <c r="N128" t="str">
        <f t="shared" si="9"/>
        <v>FAIL</v>
      </c>
      <c r="O128" t="str">
        <f t="shared" si="10"/>
        <v>At Risk</v>
      </c>
    </row>
    <row r="129" spans="1:15">
      <c r="A129">
        <v>128</v>
      </c>
      <c r="B129" t="s">
        <v>147</v>
      </c>
      <c r="C129" t="s">
        <v>16</v>
      </c>
      <c r="D129">
        <v>14</v>
      </c>
      <c r="E129" t="s">
        <v>17</v>
      </c>
      <c r="F129">
        <v>3</v>
      </c>
      <c r="G129">
        <v>31</v>
      </c>
      <c r="H129">
        <v>34</v>
      </c>
      <c r="I129">
        <v>45</v>
      </c>
      <c r="J129">
        <f t="shared" si="6"/>
        <v>113</v>
      </c>
      <c r="K129">
        <f t="shared" si="11"/>
        <v>28.25</v>
      </c>
      <c r="L129" s="3">
        <f t="shared" si="7"/>
        <v>0.28249999999999997</v>
      </c>
      <c r="M129" t="str">
        <f t="shared" si="8"/>
        <v>F</v>
      </c>
      <c r="N129" t="str">
        <f t="shared" si="9"/>
        <v>FAIL</v>
      </c>
      <c r="O129" t="str">
        <f t="shared" si="10"/>
        <v>At Risk</v>
      </c>
    </row>
    <row r="130" spans="1:15">
      <c r="A130">
        <v>129</v>
      </c>
      <c r="B130" t="s">
        <v>148</v>
      </c>
      <c r="C130" t="s">
        <v>16</v>
      </c>
      <c r="D130">
        <v>15</v>
      </c>
      <c r="E130" t="s">
        <v>20</v>
      </c>
      <c r="F130">
        <v>28</v>
      </c>
      <c r="G130">
        <v>94</v>
      </c>
      <c r="H130">
        <v>61</v>
      </c>
      <c r="I130">
        <v>72</v>
      </c>
      <c r="J130">
        <f t="shared" ref="J130:J193" si="12">SUM(F130:I130)</f>
        <v>255</v>
      </c>
      <c r="K130">
        <f t="shared" si="11"/>
        <v>63.75</v>
      </c>
      <c r="L130" s="3">
        <f t="shared" ref="L130:L193" si="13">J130/400</f>
        <v>0.63749999999999996</v>
      </c>
      <c r="M130" t="str">
        <f t="shared" ref="M130:M193" si="14">IF(L130&gt;=90%,"A+", IF(L130&gt;=80%, "A", IF(L130&gt;=70%, "B", IF(L130&gt;=60%, "C", IF(L130&gt;=50%, "D", "F")))))</f>
        <v>C</v>
      </c>
      <c r="N130" t="str">
        <f t="shared" ref="N130:N193" si="15">IF(L130&gt;=50%, "PASS", "FAIL")</f>
        <v>PASS</v>
      </c>
      <c r="O130" t="str">
        <f t="shared" ref="O130:O193" si="16">IF(L130&gt;=85%, "EXCELLENT", IF(L130&gt;=70%, "GOOD", IF(L130&gt;=50%, "Needs Improvement", "At Risk")))</f>
        <v>Needs Improvement</v>
      </c>
    </row>
    <row r="131" spans="1:15">
      <c r="A131">
        <v>130</v>
      </c>
      <c r="B131" t="s">
        <v>149</v>
      </c>
      <c r="C131" t="s">
        <v>16</v>
      </c>
      <c r="D131">
        <v>13</v>
      </c>
      <c r="E131" t="s">
        <v>24</v>
      </c>
      <c r="F131">
        <v>23</v>
      </c>
      <c r="G131">
        <v>88</v>
      </c>
      <c r="H131">
        <v>90</v>
      </c>
      <c r="I131">
        <v>68</v>
      </c>
      <c r="J131">
        <f t="shared" si="12"/>
        <v>269</v>
      </c>
      <c r="K131">
        <f t="shared" ref="K131:K194" si="17">AVERAGE(F131:I131)</f>
        <v>67.25</v>
      </c>
      <c r="L131" s="3">
        <f t="shared" si="13"/>
        <v>0.67249999999999999</v>
      </c>
      <c r="M131" t="str">
        <f t="shared" si="14"/>
        <v>C</v>
      </c>
      <c r="N131" t="str">
        <f t="shared" si="15"/>
        <v>PASS</v>
      </c>
      <c r="O131" t="str">
        <f t="shared" si="16"/>
        <v>Needs Improvement</v>
      </c>
    </row>
    <row r="132" spans="1:15">
      <c r="A132">
        <v>131</v>
      </c>
      <c r="B132" t="s">
        <v>150</v>
      </c>
      <c r="C132" t="s">
        <v>16</v>
      </c>
      <c r="D132">
        <v>15</v>
      </c>
      <c r="E132" t="s">
        <v>20</v>
      </c>
      <c r="F132">
        <v>85</v>
      </c>
      <c r="G132">
        <v>30</v>
      </c>
      <c r="H132">
        <v>50</v>
      </c>
      <c r="I132">
        <v>2</v>
      </c>
      <c r="J132">
        <f t="shared" si="12"/>
        <v>167</v>
      </c>
      <c r="K132">
        <f t="shared" si="17"/>
        <v>41.75</v>
      </c>
      <c r="L132" s="3">
        <f t="shared" si="13"/>
        <v>0.41749999999999998</v>
      </c>
      <c r="M132" t="str">
        <f t="shared" si="14"/>
        <v>F</v>
      </c>
      <c r="N132" t="str">
        <f t="shared" si="15"/>
        <v>FAIL</v>
      </c>
      <c r="O132" t="str">
        <f t="shared" si="16"/>
        <v>At Risk</v>
      </c>
    </row>
    <row r="133" spans="1:15">
      <c r="A133">
        <v>132</v>
      </c>
      <c r="B133" t="s">
        <v>151</v>
      </c>
      <c r="C133" t="s">
        <v>19</v>
      </c>
      <c r="D133">
        <v>13</v>
      </c>
      <c r="E133" t="s">
        <v>17</v>
      </c>
      <c r="F133">
        <v>13</v>
      </c>
      <c r="G133">
        <v>73</v>
      </c>
      <c r="H133">
        <v>76</v>
      </c>
      <c r="I133">
        <v>95</v>
      </c>
      <c r="J133">
        <f t="shared" si="12"/>
        <v>257</v>
      </c>
      <c r="K133">
        <f t="shared" si="17"/>
        <v>64.25</v>
      </c>
      <c r="L133" s="3">
        <f t="shared" si="13"/>
        <v>0.64249999999999996</v>
      </c>
      <c r="M133" t="str">
        <f t="shared" si="14"/>
        <v>C</v>
      </c>
      <c r="N133" t="str">
        <f t="shared" si="15"/>
        <v>PASS</v>
      </c>
      <c r="O133" t="str">
        <f t="shared" si="16"/>
        <v>Needs Improvement</v>
      </c>
    </row>
    <row r="134" spans="1:15">
      <c r="A134">
        <v>133</v>
      </c>
      <c r="B134" t="s">
        <v>152</v>
      </c>
      <c r="C134" t="s">
        <v>19</v>
      </c>
      <c r="D134">
        <v>15</v>
      </c>
      <c r="E134" t="s">
        <v>24</v>
      </c>
      <c r="F134">
        <v>19</v>
      </c>
      <c r="G134">
        <v>14</v>
      </c>
      <c r="H134">
        <v>43</v>
      </c>
      <c r="I134">
        <v>68</v>
      </c>
      <c r="J134">
        <f t="shared" si="12"/>
        <v>144</v>
      </c>
      <c r="K134">
        <f t="shared" si="17"/>
        <v>36</v>
      </c>
      <c r="L134" s="3">
        <f t="shared" si="13"/>
        <v>0.36</v>
      </c>
      <c r="M134" t="str">
        <f t="shared" si="14"/>
        <v>F</v>
      </c>
      <c r="N134" t="str">
        <f t="shared" si="15"/>
        <v>FAIL</v>
      </c>
      <c r="O134" t="str">
        <f t="shared" si="16"/>
        <v>At Risk</v>
      </c>
    </row>
    <row r="135" spans="1:15">
      <c r="A135">
        <v>134</v>
      </c>
      <c r="B135" t="s">
        <v>153</v>
      </c>
      <c r="C135" t="s">
        <v>16</v>
      </c>
      <c r="D135">
        <v>15</v>
      </c>
      <c r="E135" t="s">
        <v>17</v>
      </c>
      <c r="F135">
        <v>77</v>
      </c>
      <c r="G135">
        <v>25</v>
      </c>
      <c r="H135">
        <v>85</v>
      </c>
      <c r="I135">
        <v>26</v>
      </c>
      <c r="J135">
        <f t="shared" si="12"/>
        <v>213</v>
      </c>
      <c r="K135">
        <f t="shared" si="17"/>
        <v>53.25</v>
      </c>
      <c r="L135" s="3">
        <f t="shared" si="13"/>
        <v>0.53249999999999997</v>
      </c>
      <c r="M135" t="str">
        <f t="shared" si="14"/>
        <v>D</v>
      </c>
      <c r="N135" t="str">
        <f t="shared" si="15"/>
        <v>PASS</v>
      </c>
      <c r="O135" t="str">
        <f t="shared" si="16"/>
        <v>Needs Improvement</v>
      </c>
    </row>
    <row r="136" spans="1:15">
      <c r="A136">
        <v>135</v>
      </c>
      <c r="B136" t="s">
        <v>154</v>
      </c>
      <c r="C136" t="s">
        <v>16</v>
      </c>
      <c r="D136">
        <v>13</v>
      </c>
      <c r="E136" t="s">
        <v>20</v>
      </c>
      <c r="F136">
        <v>96</v>
      </c>
      <c r="G136">
        <v>100</v>
      </c>
      <c r="H136">
        <v>42</v>
      </c>
      <c r="I136">
        <v>62</v>
      </c>
      <c r="J136">
        <f t="shared" si="12"/>
        <v>300</v>
      </c>
      <c r="K136">
        <f t="shared" si="17"/>
        <v>75</v>
      </c>
      <c r="L136" s="3">
        <f t="shared" si="13"/>
        <v>0.75</v>
      </c>
      <c r="M136" t="str">
        <f t="shared" si="14"/>
        <v>B</v>
      </c>
      <c r="N136" t="str">
        <f t="shared" si="15"/>
        <v>PASS</v>
      </c>
      <c r="O136" t="str">
        <f t="shared" si="16"/>
        <v>GOOD</v>
      </c>
    </row>
    <row r="137" spans="1:15">
      <c r="A137">
        <v>136</v>
      </c>
      <c r="B137" t="s">
        <v>155</v>
      </c>
      <c r="C137" t="s">
        <v>16</v>
      </c>
      <c r="D137">
        <v>13</v>
      </c>
      <c r="E137" t="s">
        <v>17</v>
      </c>
      <c r="F137">
        <v>5</v>
      </c>
      <c r="G137">
        <v>10</v>
      </c>
      <c r="H137">
        <v>75</v>
      </c>
      <c r="I137">
        <v>38</v>
      </c>
      <c r="J137">
        <f t="shared" si="12"/>
        <v>128</v>
      </c>
      <c r="K137">
        <f t="shared" si="17"/>
        <v>32</v>
      </c>
      <c r="L137" s="3">
        <f t="shared" si="13"/>
        <v>0.32</v>
      </c>
      <c r="M137" t="str">
        <f t="shared" si="14"/>
        <v>F</v>
      </c>
      <c r="N137" t="str">
        <f t="shared" si="15"/>
        <v>FAIL</v>
      </c>
      <c r="O137" t="str">
        <f t="shared" si="16"/>
        <v>At Risk</v>
      </c>
    </row>
    <row r="138" spans="1:15">
      <c r="A138">
        <v>137</v>
      </c>
      <c r="B138" t="s">
        <v>156</v>
      </c>
      <c r="C138" t="s">
        <v>16</v>
      </c>
      <c r="D138">
        <v>15</v>
      </c>
      <c r="E138" t="s">
        <v>17</v>
      </c>
      <c r="F138">
        <v>52</v>
      </c>
      <c r="G138">
        <v>39</v>
      </c>
      <c r="H138">
        <v>37</v>
      </c>
      <c r="I138">
        <v>3</v>
      </c>
      <c r="J138">
        <f t="shared" si="12"/>
        <v>131</v>
      </c>
      <c r="K138">
        <f t="shared" si="17"/>
        <v>32.75</v>
      </c>
      <c r="L138" s="3">
        <f t="shared" si="13"/>
        <v>0.32750000000000001</v>
      </c>
      <c r="M138" t="str">
        <f t="shared" si="14"/>
        <v>F</v>
      </c>
      <c r="N138" t="str">
        <f t="shared" si="15"/>
        <v>FAIL</v>
      </c>
      <c r="O138" t="str">
        <f t="shared" si="16"/>
        <v>At Risk</v>
      </c>
    </row>
    <row r="139" spans="1:15">
      <c r="A139">
        <v>138</v>
      </c>
      <c r="B139" t="s">
        <v>157</v>
      </c>
      <c r="C139" t="s">
        <v>19</v>
      </c>
      <c r="D139">
        <v>13</v>
      </c>
      <c r="E139" t="s">
        <v>17</v>
      </c>
      <c r="F139">
        <v>10</v>
      </c>
      <c r="G139">
        <v>29</v>
      </c>
      <c r="H139">
        <v>21</v>
      </c>
      <c r="I139">
        <v>13</v>
      </c>
      <c r="J139">
        <f t="shared" si="12"/>
        <v>73</v>
      </c>
      <c r="K139">
        <f t="shared" si="17"/>
        <v>18.25</v>
      </c>
      <c r="L139" s="3">
        <f t="shared" si="13"/>
        <v>0.1825</v>
      </c>
      <c r="M139" t="str">
        <f t="shared" si="14"/>
        <v>F</v>
      </c>
      <c r="N139" t="str">
        <f t="shared" si="15"/>
        <v>FAIL</v>
      </c>
      <c r="O139" t="str">
        <f t="shared" si="16"/>
        <v>At Risk</v>
      </c>
    </row>
    <row r="140" spans="1:15">
      <c r="A140">
        <v>139</v>
      </c>
      <c r="B140" t="s">
        <v>158</v>
      </c>
      <c r="C140" t="s">
        <v>19</v>
      </c>
      <c r="D140">
        <v>13</v>
      </c>
      <c r="E140" t="s">
        <v>20</v>
      </c>
      <c r="F140">
        <v>52</v>
      </c>
      <c r="G140">
        <v>62</v>
      </c>
      <c r="H140">
        <v>44</v>
      </c>
      <c r="I140">
        <v>10</v>
      </c>
      <c r="J140">
        <f t="shared" si="12"/>
        <v>168</v>
      </c>
      <c r="K140">
        <f t="shared" si="17"/>
        <v>42</v>
      </c>
      <c r="L140" s="3">
        <f t="shared" si="13"/>
        <v>0.42</v>
      </c>
      <c r="M140" t="str">
        <f t="shared" si="14"/>
        <v>F</v>
      </c>
      <c r="N140" t="str">
        <f t="shared" si="15"/>
        <v>FAIL</v>
      </c>
      <c r="O140" t="str">
        <f t="shared" si="16"/>
        <v>At Risk</v>
      </c>
    </row>
    <row r="141" spans="1:15">
      <c r="A141">
        <v>140</v>
      </c>
      <c r="B141" t="s">
        <v>159</v>
      </c>
      <c r="C141" t="s">
        <v>16</v>
      </c>
      <c r="D141">
        <v>13</v>
      </c>
      <c r="E141" t="s">
        <v>20</v>
      </c>
      <c r="F141">
        <v>21</v>
      </c>
      <c r="G141">
        <v>65</v>
      </c>
      <c r="H141">
        <v>90</v>
      </c>
      <c r="I141">
        <v>4</v>
      </c>
      <c r="J141">
        <f t="shared" si="12"/>
        <v>180</v>
      </c>
      <c r="K141">
        <f t="shared" si="17"/>
        <v>45</v>
      </c>
      <c r="L141" s="3">
        <f t="shared" si="13"/>
        <v>0.45</v>
      </c>
      <c r="M141" t="str">
        <f t="shared" si="14"/>
        <v>F</v>
      </c>
      <c r="N141" t="str">
        <f t="shared" si="15"/>
        <v>FAIL</v>
      </c>
      <c r="O141" t="str">
        <f t="shared" si="16"/>
        <v>At Risk</v>
      </c>
    </row>
    <row r="142" spans="1:15">
      <c r="A142">
        <v>141</v>
      </c>
      <c r="B142" t="s">
        <v>160</v>
      </c>
      <c r="C142" t="s">
        <v>19</v>
      </c>
      <c r="D142">
        <v>15</v>
      </c>
      <c r="E142" t="s">
        <v>17</v>
      </c>
      <c r="F142">
        <v>52</v>
      </c>
      <c r="G142">
        <v>30</v>
      </c>
      <c r="H142">
        <v>14</v>
      </c>
      <c r="I142">
        <v>24</v>
      </c>
      <c r="J142">
        <f t="shared" si="12"/>
        <v>120</v>
      </c>
      <c r="K142">
        <f t="shared" si="17"/>
        <v>30</v>
      </c>
      <c r="L142" s="3">
        <f t="shared" si="13"/>
        <v>0.3</v>
      </c>
      <c r="M142" t="str">
        <f t="shared" si="14"/>
        <v>F</v>
      </c>
      <c r="N142" t="str">
        <f t="shared" si="15"/>
        <v>FAIL</v>
      </c>
      <c r="O142" t="str">
        <f t="shared" si="16"/>
        <v>At Risk</v>
      </c>
    </row>
    <row r="143" spans="1:15">
      <c r="A143">
        <v>142</v>
      </c>
      <c r="B143" t="s">
        <v>161</v>
      </c>
      <c r="C143" t="s">
        <v>16</v>
      </c>
      <c r="D143">
        <v>14</v>
      </c>
      <c r="E143" t="s">
        <v>20</v>
      </c>
      <c r="F143">
        <v>77</v>
      </c>
      <c r="G143">
        <v>79</v>
      </c>
      <c r="H143">
        <v>92</v>
      </c>
      <c r="I143">
        <v>36</v>
      </c>
      <c r="J143">
        <f t="shared" si="12"/>
        <v>284</v>
      </c>
      <c r="K143">
        <f t="shared" si="17"/>
        <v>71</v>
      </c>
      <c r="L143" s="3">
        <f t="shared" si="13"/>
        <v>0.71</v>
      </c>
      <c r="M143" t="str">
        <f t="shared" si="14"/>
        <v>B</v>
      </c>
      <c r="N143" t="str">
        <f t="shared" si="15"/>
        <v>PASS</v>
      </c>
      <c r="O143" t="str">
        <f t="shared" si="16"/>
        <v>GOOD</v>
      </c>
    </row>
    <row r="144" spans="1:15">
      <c r="A144">
        <v>143</v>
      </c>
      <c r="B144" t="s">
        <v>162</v>
      </c>
      <c r="C144" t="s">
        <v>19</v>
      </c>
      <c r="D144">
        <v>13</v>
      </c>
      <c r="E144" t="s">
        <v>20</v>
      </c>
      <c r="F144">
        <v>5</v>
      </c>
      <c r="G144">
        <v>3</v>
      </c>
      <c r="H144">
        <v>97</v>
      </c>
      <c r="I144">
        <v>84</v>
      </c>
      <c r="J144">
        <f t="shared" si="12"/>
        <v>189</v>
      </c>
      <c r="K144">
        <f t="shared" si="17"/>
        <v>47.25</v>
      </c>
      <c r="L144" s="3">
        <f t="shared" si="13"/>
        <v>0.47249999999999998</v>
      </c>
      <c r="M144" t="str">
        <f t="shared" si="14"/>
        <v>F</v>
      </c>
      <c r="N144" t="str">
        <f t="shared" si="15"/>
        <v>FAIL</v>
      </c>
      <c r="O144" t="str">
        <f t="shared" si="16"/>
        <v>At Risk</v>
      </c>
    </row>
    <row r="145" spans="1:15">
      <c r="A145">
        <v>144</v>
      </c>
      <c r="B145" t="s">
        <v>163</v>
      </c>
      <c r="C145" t="s">
        <v>16</v>
      </c>
      <c r="D145">
        <v>13</v>
      </c>
      <c r="E145" t="s">
        <v>17</v>
      </c>
      <c r="F145">
        <v>63</v>
      </c>
      <c r="G145">
        <v>12</v>
      </c>
      <c r="H145">
        <v>69</v>
      </c>
      <c r="I145">
        <v>41</v>
      </c>
      <c r="J145">
        <f t="shared" si="12"/>
        <v>185</v>
      </c>
      <c r="K145">
        <f t="shared" si="17"/>
        <v>46.25</v>
      </c>
      <c r="L145" s="3">
        <f t="shared" si="13"/>
        <v>0.46250000000000002</v>
      </c>
      <c r="M145" t="str">
        <f t="shared" si="14"/>
        <v>F</v>
      </c>
      <c r="N145" t="str">
        <f t="shared" si="15"/>
        <v>FAIL</v>
      </c>
      <c r="O145" t="str">
        <f t="shared" si="16"/>
        <v>At Risk</v>
      </c>
    </row>
    <row r="146" spans="1:15">
      <c r="A146">
        <v>145</v>
      </c>
      <c r="B146" t="s">
        <v>164</v>
      </c>
      <c r="C146" t="s">
        <v>19</v>
      </c>
      <c r="D146">
        <v>15</v>
      </c>
      <c r="E146" t="s">
        <v>24</v>
      </c>
      <c r="F146">
        <v>76</v>
      </c>
      <c r="G146">
        <v>53</v>
      </c>
      <c r="H146">
        <v>32</v>
      </c>
      <c r="I146">
        <v>69</v>
      </c>
      <c r="J146">
        <f t="shared" si="12"/>
        <v>230</v>
      </c>
      <c r="K146">
        <f t="shared" si="17"/>
        <v>57.5</v>
      </c>
      <c r="L146" s="3">
        <f t="shared" si="13"/>
        <v>0.57499999999999996</v>
      </c>
      <c r="M146" t="str">
        <f t="shared" si="14"/>
        <v>D</v>
      </c>
      <c r="N146" t="str">
        <f t="shared" si="15"/>
        <v>PASS</v>
      </c>
      <c r="O146" t="str">
        <f t="shared" si="16"/>
        <v>Needs Improvement</v>
      </c>
    </row>
    <row r="147" spans="1:15">
      <c r="A147">
        <v>146</v>
      </c>
      <c r="B147" t="s">
        <v>104</v>
      </c>
      <c r="C147" t="s">
        <v>16</v>
      </c>
      <c r="D147">
        <v>15</v>
      </c>
      <c r="E147" t="s">
        <v>20</v>
      </c>
      <c r="F147">
        <v>43</v>
      </c>
      <c r="G147">
        <v>4</v>
      </c>
      <c r="H147">
        <v>40</v>
      </c>
      <c r="I147">
        <v>93</v>
      </c>
      <c r="J147">
        <f t="shared" si="12"/>
        <v>180</v>
      </c>
      <c r="K147">
        <f t="shared" si="17"/>
        <v>45</v>
      </c>
      <c r="L147" s="3">
        <f t="shared" si="13"/>
        <v>0.45</v>
      </c>
      <c r="M147" t="str">
        <f t="shared" si="14"/>
        <v>F</v>
      </c>
      <c r="N147" t="str">
        <f t="shared" si="15"/>
        <v>FAIL</v>
      </c>
      <c r="O147" t="str">
        <f t="shared" si="16"/>
        <v>At Risk</v>
      </c>
    </row>
    <row r="148" spans="1:15">
      <c r="A148">
        <v>147</v>
      </c>
      <c r="B148" t="s">
        <v>165</v>
      </c>
      <c r="C148" t="s">
        <v>19</v>
      </c>
      <c r="D148">
        <v>15</v>
      </c>
      <c r="E148" t="s">
        <v>17</v>
      </c>
      <c r="F148">
        <v>33</v>
      </c>
      <c r="G148">
        <v>75</v>
      </c>
      <c r="H148">
        <v>98</v>
      </c>
      <c r="I148">
        <v>84</v>
      </c>
      <c r="J148">
        <f t="shared" si="12"/>
        <v>290</v>
      </c>
      <c r="K148">
        <f t="shared" si="17"/>
        <v>72.5</v>
      </c>
      <c r="L148" s="3">
        <f t="shared" si="13"/>
        <v>0.72499999999999998</v>
      </c>
      <c r="M148" t="str">
        <f t="shared" si="14"/>
        <v>B</v>
      </c>
      <c r="N148" t="str">
        <f t="shared" si="15"/>
        <v>PASS</v>
      </c>
      <c r="O148" t="str">
        <f t="shared" si="16"/>
        <v>GOOD</v>
      </c>
    </row>
    <row r="149" spans="1:15">
      <c r="A149">
        <v>148</v>
      </c>
      <c r="B149" t="s">
        <v>166</v>
      </c>
      <c r="C149" t="s">
        <v>16</v>
      </c>
      <c r="D149">
        <v>13</v>
      </c>
      <c r="E149" t="s">
        <v>20</v>
      </c>
      <c r="F149">
        <v>92</v>
      </c>
      <c r="G149">
        <v>67</v>
      </c>
      <c r="H149">
        <v>13</v>
      </c>
      <c r="I149">
        <v>25</v>
      </c>
      <c r="J149">
        <f t="shared" si="12"/>
        <v>197</v>
      </c>
      <c r="K149">
        <f t="shared" si="17"/>
        <v>49.25</v>
      </c>
      <c r="L149" s="3">
        <f t="shared" si="13"/>
        <v>0.49249999999999999</v>
      </c>
      <c r="M149" t="str">
        <f t="shared" si="14"/>
        <v>F</v>
      </c>
      <c r="N149" t="str">
        <f t="shared" si="15"/>
        <v>FAIL</v>
      </c>
      <c r="O149" t="str">
        <f t="shared" si="16"/>
        <v>At Risk</v>
      </c>
    </row>
    <row r="150" spans="1:15">
      <c r="A150">
        <v>149</v>
      </c>
      <c r="B150" t="s">
        <v>167</v>
      </c>
      <c r="C150" t="s">
        <v>16</v>
      </c>
      <c r="D150">
        <v>15</v>
      </c>
      <c r="E150" t="s">
        <v>17</v>
      </c>
      <c r="F150">
        <v>51</v>
      </c>
      <c r="G150">
        <v>67</v>
      </c>
      <c r="H150">
        <v>67</v>
      </c>
      <c r="I150">
        <v>91</v>
      </c>
      <c r="J150">
        <f t="shared" si="12"/>
        <v>276</v>
      </c>
      <c r="K150">
        <f t="shared" si="17"/>
        <v>69</v>
      </c>
      <c r="L150" s="3">
        <f t="shared" si="13"/>
        <v>0.69</v>
      </c>
      <c r="M150" t="str">
        <f t="shared" si="14"/>
        <v>C</v>
      </c>
      <c r="N150" t="str">
        <f t="shared" si="15"/>
        <v>PASS</v>
      </c>
      <c r="O150" t="str">
        <f t="shared" si="16"/>
        <v>Needs Improvement</v>
      </c>
    </row>
    <row r="151" spans="1:15">
      <c r="A151">
        <v>150</v>
      </c>
      <c r="B151" t="s">
        <v>168</v>
      </c>
      <c r="C151" t="s">
        <v>16</v>
      </c>
      <c r="D151">
        <v>13</v>
      </c>
      <c r="E151" t="s">
        <v>20</v>
      </c>
      <c r="F151">
        <v>53</v>
      </c>
      <c r="G151">
        <v>95</v>
      </c>
      <c r="H151">
        <v>75</v>
      </c>
      <c r="I151">
        <v>81</v>
      </c>
      <c r="J151">
        <f t="shared" si="12"/>
        <v>304</v>
      </c>
      <c r="K151">
        <f t="shared" si="17"/>
        <v>76</v>
      </c>
      <c r="L151" s="3">
        <f t="shared" si="13"/>
        <v>0.76</v>
      </c>
      <c r="M151" t="str">
        <f t="shared" si="14"/>
        <v>B</v>
      </c>
      <c r="N151" t="str">
        <f t="shared" si="15"/>
        <v>PASS</v>
      </c>
      <c r="O151" t="str">
        <f t="shared" si="16"/>
        <v>GOOD</v>
      </c>
    </row>
    <row r="152" spans="1:15">
      <c r="A152">
        <v>151</v>
      </c>
      <c r="B152" t="s">
        <v>169</v>
      </c>
      <c r="C152" t="s">
        <v>19</v>
      </c>
      <c r="D152">
        <v>13</v>
      </c>
      <c r="E152" t="s">
        <v>24</v>
      </c>
      <c r="F152">
        <v>92</v>
      </c>
      <c r="G152">
        <v>97</v>
      </c>
      <c r="H152">
        <v>62</v>
      </c>
      <c r="I152">
        <v>69</v>
      </c>
      <c r="J152">
        <f t="shared" si="12"/>
        <v>320</v>
      </c>
      <c r="K152">
        <f t="shared" si="17"/>
        <v>80</v>
      </c>
      <c r="L152" s="3">
        <f t="shared" si="13"/>
        <v>0.8</v>
      </c>
      <c r="M152" t="str">
        <f t="shared" si="14"/>
        <v>A</v>
      </c>
      <c r="N152" t="str">
        <f t="shared" si="15"/>
        <v>PASS</v>
      </c>
      <c r="O152" t="str">
        <f t="shared" si="16"/>
        <v>GOOD</v>
      </c>
    </row>
    <row r="153" spans="1:15">
      <c r="A153">
        <v>152</v>
      </c>
      <c r="B153" t="s">
        <v>170</v>
      </c>
      <c r="C153" t="s">
        <v>16</v>
      </c>
      <c r="D153">
        <v>15</v>
      </c>
      <c r="E153" t="s">
        <v>24</v>
      </c>
      <c r="F153">
        <v>26</v>
      </c>
      <c r="G153">
        <v>76</v>
      </c>
      <c r="H153">
        <v>56</v>
      </c>
      <c r="I153">
        <v>75</v>
      </c>
      <c r="J153">
        <f t="shared" si="12"/>
        <v>233</v>
      </c>
      <c r="K153">
        <f t="shared" si="17"/>
        <v>58.25</v>
      </c>
      <c r="L153" s="3">
        <f t="shared" si="13"/>
        <v>0.58250000000000002</v>
      </c>
      <c r="M153" t="str">
        <f t="shared" si="14"/>
        <v>D</v>
      </c>
      <c r="N153" t="str">
        <f t="shared" si="15"/>
        <v>PASS</v>
      </c>
      <c r="O153" t="str">
        <f t="shared" si="16"/>
        <v>Needs Improvement</v>
      </c>
    </row>
    <row r="154" spans="1:15">
      <c r="A154">
        <v>153</v>
      </c>
      <c r="B154" t="s">
        <v>171</v>
      </c>
      <c r="C154" t="s">
        <v>19</v>
      </c>
      <c r="D154">
        <v>13</v>
      </c>
      <c r="E154" t="s">
        <v>24</v>
      </c>
      <c r="F154">
        <v>23</v>
      </c>
      <c r="G154">
        <v>41</v>
      </c>
      <c r="H154">
        <v>49</v>
      </c>
      <c r="I154">
        <v>79</v>
      </c>
      <c r="J154">
        <f t="shared" si="12"/>
        <v>192</v>
      </c>
      <c r="K154">
        <f t="shared" si="17"/>
        <v>48</v>
      </c>
      <c r="L154" s="3">
        <f t="shared" si="13"/>
        <v>0.48</v>
      </c>
      <c r="M154" t="str">
        <f t="shared" si="14"/>
        <v>F</v>
      </c>
      <c r="N154" t="str">
        <f t="shared" si="15"/>
        <v>FAIL</v>
      </c>
      <c r="O154" t="str">
        <f t="shared" si="16"/>
        <v>At Risk</v>
      </c>
    </row>
    <row r="155" spans="1:15">
      <c r="A155">
        <v>154</v>
      </c>
      <c r="B155" t="s">
        <v>172</v>
      </c>
      <c r="C155" t="s">
        <v>16</v>
      </c>
      <c r="D155">
        <v>14</v>
      </c>
      <c r="E155" t="s">
        <v>24</v>
      </c>
      <c r="F155">
        <v>47</v>
      </c>
      <c r="G155">
        <v>16</v>
      </c>
      <c r="H155">
        <v>55</v>
      </c>
      <c r="I155">
        <v>21</v>
      </c>
      <c r="J155">
        <f t="shared" si="12"/>
        <v>139</v>
      </c>
      <c r="K155">
        <f t="shared" si="17"/>
        <v>34.75</v>
      </c>
      <c r="L155" s="3">
        <f t="shared" si="13"/>
        <v>0.34749999999999998</v>
      </c>
      <c r="M155" t="str">
        <f t="shared" si="14"/>
        <v>F</v>
      </c>
      <c r="N155" t="str">
        <f t="shared" si="15"/>
        <v>FAIL</v>
      </c>
      <c r="O155" t="str">
        <f t="shared" si="16"/>
        <v>At Risk</v>
      </c>
    </row>
    <row r="156" spans="1:15">
      <c r="A156">
        <v>155</v>
      </c>
      <c r="B156" t="s">
        <v>173</v>
      </c>
      <c r="C156" t="s">
        <v>19</v>
      </c>
      <c r="D156">
        <v>14</v>
      </c>
      <c r="E156" t="s">
        <v>17</v>
      </c>
      <c r="F156">
        <v>32</v>
      </c>
      <c r="G156">
        <v>3</v>
      </c>
      <c r="H156">
        <v>69</v>
      </c>
      <c r="I156">
        <v>96</v>
      </c>
      <c r="J156">
        <f t="shared" si="12"/>
        <v>200</v>
      </c>
      <c r="K156">
        <f t="shared" si="17"/>
        <v>50</v>
      </c>
      <c r="L156" s="3">
        <f t="shared" si="13"/>
        <v>0.5</v>
      </c>
      <c r="M156" t="str">
        <f t="shared" si="14"/>
        <v>D</v>
      </c>
      <c r="N156" t="str">
        <f t="shared" si="15"/>
        <v>PASS</v>
      </c>
      <c r="O156" t="str">
        <f t="shared" si="16"/>
        <v>Needs Improvement</v>
      </c>
    </row>
    <row r="157" spans="1:15">
      <c r="A157">
        <v>156</v>
      </c>
      <c r="B157" t="s">
        <v>174</v>
      </c>
      <c r="C157" t="s">
        <v>16</v>
      </c>
      <c r="D157">
        <v>13</v>
      </c>
      <c r="E157" t="s">
        <v>20</v>
      </c>
      <c r="F157">
        <v>55</v>
      </c>
      <c r="G157">
        <v>99</v>
      </c>
      <c r="H157">
        <v>8</v>
      </c>
      <c r="I157">
        <v>72</v>
      </c>
      <c r="J157">
        <f t="shared" si="12"/>
        <v>234</v>
      </c>
      <c r="K157">
        <f t="shared" si="17"/>
        <v>58.5</v>
      </c>
      <c r="L157" s="3">
        <f t="shared" si="13"/>
        <v>0.58499999999999996</v>
      </c>
      <c r="M157" t="str">
        <f t="shared" si="14"/>
        <v>D</v>
      </c>
      <c r="N157" t="str">
        <f t="shared" si="15"/>
        <v>PASS</v>
      </c>
      <c r="O157" t="str">
        <f t="shared" si="16"/>
        <v>Needs Improvement</v>
      </c>
    </row>
    <row r="158" spans="1:15">
      <c r="A158">
        <v>157</v>
      </c>
      <c r="B158" t="s">
        <v>175</v>
      </c>
      <c r="C158" t="s">
        <v>19</v>
      </c>
      <c r="D158">
        <v>15</v>
      </c>
      <c r="E158" t="s">
        <v>17</v>
      </c>
      <c r="F158">
        <v>67</v>
      </c>
      <c r="G158">
        <v>88</v>
      </c>
      <c r="H158">
        <v>41</v>
      </c>
      <c r="I158">
        <v>8</v>
      </c>
      <c r="J158">
        <f t="shared" si="12"/>
        <v>204</v>
      </c>
      <c r="K158">
        <f t="shared" si="17"/>
        <v>51</v>
      </c>
      <c r="L158" s="3">
        <f t="shared" si="13"/>
        <v>0.51</v>
      </c>
      <c r="M158" t="str">
        <f t="shared" si="14"/>
        <v>D</v>
      </c>
      <c r="N158" t="str">
        <f t="shared" si="15"/>
        <v>PASS</v>
      </c>
      <c r="O158" t="str">
        <f t="shared" si="16"/>
        <v>Needs Improvement</v>
      </c>
    </row>
    <row r="159" spans="1:15">
      <c r="A159">
        <v>158</v>
      </c>
      <c r="B159" t="s">
        <v>176</v>
      </c>
      <c r="C159" t="s">
        <v>16</v>
      </c>
      <c r="D159">
        <v>13</v>
      </c>
      <c r="E159" t="s">
        <v>17</v>
      </c>
      <c r="F159">
        <v>72</v>
      </c>
      <c r="G159">
        <v>24</v>
      </c>
      <c r="H159">
        <v>83</v>
      </c>
      <c r="I159">
        <v>62</v>
      </c>
      <c r="J159">
        <f t="shared" si="12"/>
        <v>241</v>
      </c>
      <c r="K159">
        <f t="shared" si="17"/>
        <v>60.25</v>
      </c>
      <c r="L159" s="3">
        <f t="shared" si="13"/>
        <v>0.60250000000000004</v>
      </c>
      <c r="M159" t="str">
        <f t="shared" si="14"/>
        <v>C</v>
      </c>
      <c r="N159" t="str">
        <f t="shared" si="15"/>
        <v>PASS</v>
      </c>
      <c r="O159" t="str">
        <f t="shared" si="16"/>
        <v>Needs Improvement</v>
      </c>
    </row>
    <row r="160" spans="1:15">
      <c r="A160">
        <v>159</v>
      </c>
      <c r="B160" t="s">
        <v>177</v>
      </c>
      <c r="C160" t="s">
        <v>19</v>
      </c>
      <c r="D160">
        <v>14</v>
      </c>
      <c r="E160" t="s">
        <v>24</v>
      </c>
      <c r="F160">
        <v>73</v>
      </c>
      <c r="G160">
        <v>71</v>
      </c>
      <c r="H160">
        <v>87</v>
      </c>
      <c r="I160">
        <v>30</v>
      </c>
      <c r="J160">
        <f t="shared" si="12"/>
        <v>261</v>
      </c>
      <c r="K160">
        <f t="shared" si="17"/>
        <v>65.25</v>
      </c>
      <c r="L160" s="3">
        <f t="shared" si="13"/>
        <v>0.65249999999999997</v>
      </c>
      <c r="M160" t="str">
        <f t="shared" si="14"/>
        <v>C</v>
      </c>
      <c r="N160" t="str">
        <f t="shared" si="15"/>
        <v>PASS</v>
      </c>
      <c r="O160" t="str">
        <f t="shared" si="16"/>
        <v>Needs Improvement</v>
      </c>
    </row>
    <row r="161" spans="1:15">
      <c r="A161">
        <v>160</v>
      </c>
      <c r="B161" t="s">
        <v>178</v>
      </c>
      <c r="C161" t="s">
        <v>19</v>
      </c>
      <c r="D161">
        <v>14</v>
      </c>
      <c r="E161" t="s">
        <v>20</v>
      </c>
      <c r="F161">
        <v>61</v>
      </c>
      <c r="G161">
        <v>89</v>
      </c>
      <c r="H161">
        <v>70</v>
      </c>
      <c r="I161">
        <v>68</v>
      </c>
      <c r="J161">
        <f t="shared" si="12"/>
        <v>288</v>
      </c>
      <c r="K161">
        <f t="shared" si="17"/>
        <v>72</v>
      </c>
      <c r="L161" s="3">
        <f t="shared" si="13"/>
        <v>0.72</v>
      </c>
      <c r="M161" t="str">
        <f t="shared" si="14"/>
        <v>B</v>
      </c>
      <c r="N161" t="str">
        <f t="shared" si="15"/>
        <v>PASS</v>
      </c>
      <c r="O161" t="str">
        <f t="shared" si="16"/>
        <v>GOOD</v>
      </c>
    </row>
    <row r="162" spans="1:15">
      <c r="A162">
        <v>161</v>
      </c>
      <c r="B162" t="s">
        <v>179</v>
      </c>
      <c r="C162" t="s">
        <v>16</v>
      </c>
      <c r="D162">
        <v>15</v>
      </c>
      <c r="E162" t="s">
        <v>17</v>
      </c>
      <c r="F162">
        <v>58</v>
      </c>
      <c r="G162">
        <v>25</v>
      </c>
      <c r="H162">
        <v>23</v>
      </c>
      <c r="I162">
        <v>39</v>
      </c>
      <c r="J162">
        <f t="shared" si="12"/>
        <v>145</v>
      </c>
      <c r="K162">
        <f t="shared" si="17"/>
        <v>36.25</v>
      </c>
      <c r="L162" s="3">
        <f t="shared" si="13"/>
        <v>0.36249999999999999</v>
      </c>
      <c r="M162" t="str">
        <f t="shared" si="14"/>
        <v>F</v>
      </c>
      <c r="N162" t="str">
        <f t="shared" si="15"/>
        <v>FAIL</v>
      </c>
      <c r="O162" t="str">
        <f t="shared" si="16"/>
        <v>At Risk</v>
      </c>
    </row>
    <row r="163" spans="1:15">
      <c r="A163">
        <v>162</v>
      </c>
      <c r="B163" t="s">
        <v>180</v>
      </c>
      <c r="C163" t="s">
        <v>16</v>
      </c>
      <c r="D163">
        <v>13</v>
      </c>
      <c r="E163" t="s">
        <v>24</v>
      </c>
      <c r="F163">
        <v>100</v>
      </c>
      <c r="G163">
        <v>64</v>
      </c>
      <c r="H163">
        <v>16</v>
      </c>
      <c r="I163">
        <v>20</v>
      </c>
      <c r="J163">
        <f t="shared" si="12"/>
        <v>200</v>
      </c>
      <c r="K163">
        <f t="shared" si="17"/>
        <v>50</v>
      </c>
      <c r="L163" s="3">
        <f t="shared" si="13"/>
        <v>0.5</v>
      </c>
      <c r="M163" t="str">
        <f t="shared" si="14"/>
        <v>D</v>
      </c>
      <c r="N163" t="str">
        <f t="shared" si="15"/>
        <v>PASS</v>
      </c>
      <c r="O163" t="str">
        <f t="shared" si="16"/>
        <v>Needs Improvement</v>
      </c>
    </row>
    <row r="164" spans="1:15">
      <c r="A164">
        <v>163</v>
      </c>
      <c r="B164" t="s">
        <v>181</v>
      </c>
      <c r="C164" t="s">
        <v>19</v>
      </c>
      <c r="D164">
        <v>15</v>
      </c>
      <c r="E164" t="s">
        <v>20</v>
      </c>
      <c r="F164">
        <v>44</v>
      </c>
      <c r="G164">
        <v>47</v>
      </c>
      <c r="H164">
        <v>43</v>
      </c>
      <c r="I164">
        <v>55</v>
      </c>
      <c r="J164">
        <f t="shared" si="12"/>
        <v>189</v>
      </c>
      <c r="K164">
        <f t="shared" si="17"/>
        <v>47.25</v>
      </c>
      <c r="L164" s="3">
        <f t="shared" si="13"/>
        <v>0.47249999999999998</v>
      </c>
      <c r="M164" t="str">
        <f t="shared" si="14"/>
        <v>F</v>
      </c>
      <c r="N164" t="str">
        <f t="shared" si="15"/>
        <v>FAIL</v>
      </c>
      <c r="O164" t="str">
        <f t="shared" si="16"/>
        <v>At Risk</v>
      </c>
    </row>
    <row r="165" spans="1:15">
      <c r="A165">
        <v>164</v>
      </c>
      <c r="B165" t="s">
        <v>182</v>
      </c>
      <c r="C165" t="s">
        <v>16</v>
      </c>
      <c r="D165">
        <v>13</v>
      </c>
      <c r="E165" t="s">
        <v>24</v>
      </c>
      <c r="F165">
        <v>91</v>
      </c>
      <c r="G165">
        <v>12</v>
      </c>
      <c r="H165">
        <v>15</v>
      </c>
      <c r="I165">
        <v>70</v>
      </c>
      <c r="J165">
        <f t="shared" si="12"/>
        <v>188</v>
      </c>
      <c r="K165">
        <f t="shared" si="17"/>
        <v>47</v>
      </c>
      <c r="L165" s="3">
        <f t="shared" si="13"/>
        <v>0.47</v>
      </c>
      <c r="M165" t="str">
        <f t="shared" si="14"/>
        <v>F</v>
      </c>
      <c r="N165" t="str">
        <f t="shared" si="15"/>
        <v>FAIL</v>
      </c>
      <c r="O165" t="str">
        <f t="shared" si="16"/>
        <v>At Risk</v>
      </c>
    </row>
    <row r="166" spans="1:15">
      <c r="A166">
        <v>165</v>
      </c>
      <c r="B166" t="s">
        <v>183</v>
      </c>
      <c r="C166" t="s">
        <v>16</v>
      </c>
      <c r="D166">
        <v>15</v>
      </c>
      <c r="E166" t="s">
        <v>17</v>
      </c>
      <c r="F166">
        <v>35</v>
      </c>
      <c r="G166">
        <v>39</v>
      </c>
      <c r="H166">
        <v>61</v>
      </c>
      <c r="I166">
        <v>9</v>
      </c>
      <c r="J166">
        <f t="shared" si="12"/>
        <v>144</v>
      </c>
      <c r="K166">
        <f t="shared" si="17"/>
        <v>36</v>
      </c>
      <c r="L166" s="3">
        <f t="shared" si="13"/>
        <v>0.36</v>
      </c>
      <c r="M166" t="str">
        <f t="shared" si="14"/>
        <v>F</v>
      </c>
      <c r="N166" t="str">
        <f t="shared" si="15"/>
        <v>FAIL</v>
      </c>
      <c r="O166" t="str">
        <f t="shared" si="16"/>
        <v>At Risk</v>
      </c>
    </row>
    <row r="167" spans="1:15">
      <c r="A167">
        <v>166</v>
      </c>
      <c r="B167" t="s">
        <v>184</v>
      </c>
      <c r="C167" t="s">
        <v>19</v>
      </c>
      <c r="D167">
        <v>13</v>
      </c>
      <c r="E167" t="s">
        <v>17</v>
      </c>
      <c r="F167">
        <v>67</v>
      </c>
      <c r="G167">
        <v>21</v>
      </c>
      <c r="H167">
        <v>60</v>
      </c>
      <c r="I167">
        <v>40</v>
      </c>
      <c r="J167">
        <f t="shared" si="12"/>
        <v>188</v>
      </c>
      <c r="K167">
        <f t="shared" si="17"/>
        <v>47</v>
      </c>
      <c r="L167" s="3">
        <f t="shared" si="13"/>
        <v>0.47</v>
      </c>
      <c r="M167" t="str">
        <f t="shared" si="14"/>
        <v>F</v>
      </c>
      <c r="N167" t="str">
        <f t="shared" si="15"/>
        <v>FAIL</v>
      </c>
      <c r="O167" t="str">
        <f t="shared" si="16"/>
        <v>At Risk</v>
      </c>
    </row>
    <row r="168" spans="1:15">
      <c r="A168">
        <v>167</v>
      </c>
      <c r="B168" t="s">
        <v>185</v>
      </c>
      <c r="C168" t="s">
        <v>19</v>
      </c>
      <c r="D168">
        <v>15</v>
      </c>
      <c r="E168" t="s">
        <v>17</v>
      </c>
      <c r="F168">
        <v>84</v>
      </c>
      <c r="G168">
        <v>8</v>
      </c>
      <c r="H168">
        <v>71</v>
      </c>
      <c r="I168">
        <v>48</v>
      </c>
      <c r="J168">
        <f t="shared" si="12"/>
        <v>211</v>
      </c>
      <c r="K168">
        <f t="shared" si="17"/>
        <v>52.75</v>
      </c>
      <c r="L168" s="3">
        <f t="shared" si="13"/>
        <v>0.52749999999999997</v>
      </c>
      <c r="M168" t="str">
        <f t="shared" si="14"/>
        <v>D</v>
      </c>
      <c r="N168" t="str">
        <f t="shared" si="15"/>
        <v>PASS</v>
      </c>
      <c r="O168" t="str">
        <f t="shared" si="16"/>
        <v>Needs Improvement</v>
      </c>
    </row>
    <row r="169" spans="1:15">
      <c r="A169">
        <v>168</v>
      </c>
      <c r="B169" t="s">
        <v>37</v>
      </c>
      <c r="C169" t="s">
        <v>16</v>
      </c>
      <c r="D169">
        <v>13</v>
      </c>
      <c r="E169" t="s">
        <v>20</v>
      </c>
      <c r="F169">
        <v>23</v>
      </c>
      <c r="G169">
        <v>5</v>
      </c>
      <c r="H169">
        <v>39</v>
      </c>
      <c r="I169">
        <v>42</v>
      </c>
      <c r="J169">
        <f t="shared" si="12"/>
        <v>109</v>
      </c>
      <c r="K169">
        <f t="shared" si="17"/>
        <v>27.25</v>
      </c>
      <c r="L169" s="3">
        <f t="shared" si="13"/>
        <v>0.27250000000000002</v>
      </c>
      <c r="M169" t="str">
        <f t="shared" si="14"/>
        <v>F</v>
      </c>
      <c r="N169" t="str">
        <f t="shared" si="15"/>
        <v>FAIL</v>
      </c>
      <c r="O169" t="str">
        <f t="shared" si="16"/>
        <v>At Risk</v>
      </c>
    </row>
    <row r="170" spans="1:15">
      <c r="A170">
        <v>169</v>
      </c>
      <c r="B170" t="s">
        <v>186</v>
      </c>
      <c r="C170" t="s">
        <v>19</v>
      </c>
      <c r="D170">
        <v>14</v>
      </c>
      <c r="E170" t="s">
        <v>17</v>
      </c>
      <c r="F170">
        <v>95</v>
      </c>
      <c r="G170">
        <v>56</v>
      </c>
      <c r="H170">
        <v>4</v>
      </c>
      <c r="I170">
        <v>100</v>
      </c>
      <c r="J170">
        <f t="shared" si="12"/>
        <v>255</v>
      </c>
      <c r="K170">
        <f t="shared" si="17"/>
        <v>63.75</v>
      </c>
      <c r="L170" s="3">
        <f t="shared" si="13"/>
        <v>0.63749999999999996</v>
      </c>
      <c r="M170" t="str">
        <f t="shared" si="14"/>
        <v>C</v>
      </c>
      <c r="N170" t="str">
        <f t="shared" si="15"/>
        <v>PASS</v>
      </c>
      <c r="O170" t="str">
        <f t="shared" si="16"/>
        <v>Needs Improvement</v>
      </c>
    </row>
    <row r="171" spans="1:15">
      <c r="A171">
        <v>170</v>
      </c>
      <c r="B171" t="s">
        <v>187</v>
      </c>
      <c r="C171" t="s">
        <v>16</v>
      </c>
      <c r="D171">
        <v>15</v>
      </c>
      <c r="E171" t="s">
        <v>20</v>
      </c>
      <c r="F171">
        <v>38</v>
      </c>
      <c r="G171">
        <v>17</v>
      </c>
      <c r="H171">
        <v>76</v>
      </c>
      <c r="I171">
        <v>26</v>
      </c>
      <c r="J171">
        <f t="shared" si="12"/>
        <v>157</v>
      </c>
      <c r="K171">
        <f t="shared" si="17"/>
        <v>39.25</v>
      </c>
      <c r="L171" s="3">
        <f t="shared" si="13"/>
        <v>0.39250000000000002</v>
      </c>
      <c r="M171" t="str">
        <f t="shared" si="14"/>
        <v>F</v>
      </c>
      <c r="N171" t="str">
        <f t="shared" si="15"/>
        <v>FAIL</v>
      </c>
      <c r="O171" t="str">
        <f t="shared" si="16"/>
        <v>At Risk</v>
      </c>
    </row>
    <row r="172" spans="1:15">
      <c r="A172">
        <v>171</v>
      </c>
      <c r="B172" t="s">
        <v>188</v>
      </c>
      <c r="C172" t="s">
        <v>16</v>
      </c>
      <c r="D172">
        <v>15</v>
      </c>
      <c r="E172" t="s">
        <v>20</v>
      </c>
      <c r="F172">
        <v>34</v>
      </c>
      <c r="G172">
        <v>74</v>
      </c>
      <c r="H172">
        <v>83</v>
      </c>
      <c r="I172">
        <v>81</v>
      </c>
      <c r="J172">
        <f t="shared" si="12"/>
        <v>272</v>
      </c>
      <c r="K172">
        <f t="shared" si="17"/>
        <v>68</v>
      </c>
      <c r="L172" s="3">
        <f t="shared" si="13"/>
        <v>0.68</v>
      </c>
      <c r="M172" t="str">
        <f t="shared" si="14"/>
        <v>C</v>
      </c>
      <c r="N172" t="str">
        <f t="shared" si="15"/>
        <v>PASS</v>
      </c>
      <c r="O172" t="str">
        <f t="shared" si="16"/>
        <v>Needs Improvement</v>
      </c>
    </row>
    <row r="173" spans="1:15">
      <c r="A173">
        <v>172</v>
      </c>
      <c r="B173" t="s">
        <v>189</v>
      </c>
      <c r="C173" t="s">
        <v>19</v>
      </c>
      <c r="D173">
        <v>14</v>
      </c>
      <c r="E173" t="s">
        <v>24</v>
      </c>
      <c r="F173">
        <v>86</v>
      </c>
      <c r="G173">
        <v>92</v>
      </c>
      <c r="H173">
        <v>8</v>
      </c>
      <c r="I173">
        <v>62</v>
      </c>
      <c r="J173">
        <f t="shared" si="12"/>
        <v>248</v>
      </c>
      <c r="K173">
        <f t="shared" si="17"/>
        <v>62</v>
      </c>
      <c r="L173" s="3">
        <f t="shared" si="13"/>
        <v>0.62</v>
      </c>
      <c r="M173" t="str">
        <f t="shared" si="14"/>
        <v>C</v>
      </c>
      <c r="N173" t="str">
        <f t="shared" si="15"/>
        <v>PASS</v>
      </c>
      <c r="O173" t="str">
        <f t="shared" si="16"/>
        <v>Needs Improvement</v>
      </c>
    </row>
    <row r="174" spans="1:15">
      <c r="A174">
        <v>173</v>
      </c>
      <c r="B174" t="s">
        <v>190</v>
      </c>
      <c r="C174" t="s">
        <v>19</v>
      </c>
      <c r="D174">
        <v>15</v>
      </c>
      <c r="E174" t="s">
        <v>17</v>
      </c>
      <c r="F174">
        <v>55</v>
      </c>
      <c r="G174">
        <v>62</v>
      </c>
      <c r="H174">
        <v>57</v>
      </c>
      <c r="I174">
        <v>56</v>
      </c>
      <c r="J174">
        <f t="shared" si="12"/>
        <v>230</v>
      </c>
      <c r="K174">
        <f t="shared" si="17"/>
        <v>57.5</v>
      </c>
      <c r="L174" s="3">
        <f t="shared" si="13"/>
        <v>0.57499999999999996</v>
      </c>
      <c r="M174" t="str">
        <f t="shared" si="14"/>
        <v>D</v>
      </c>
      <c r="N174" t="str">
        <f t="shared" si="15"/>
        <v>PASS</v>
      </c>
      <c r="O174" t="str">
        <f t="shared" si="16"/>
        <v>Needs Improvement</v>
      </c>
    </row>
    <row r="175" spans="1:15">
      <c r="A175">
        <v>174</v>
      </c>
      <c r="B175" t="s">
        <v>191</v>
      </c>
      <c r="C175" t="s">
        <v>19</v>
      </c>
      <c r="D175">
        <v>14</v>
      </c>
      <c r="E175" t="s">
        <v>24</v>
      </c>
      <c r="F175">
        <v>94</v>
      </c>
      <c r="G175">
        <v>28</v>
      </c>
      <c r="H175">
        <v>6</v>
      </c>
      <c r="I175">
        <v>9</v>
      </c>
      <c r="J175">
        <f t="shared" si="12"/>
        <v>137</v>
      </c>
      <c r="K175">
        <f t="shared" si="17"/>
        <v>34.25</v>
      </c>
      <c r="L175" s="3">
        <f t="shared" si="13"/>
        <v>0.34250000000000003</v>
      </c>
      <c r="M175" t="str">
        <f t="shared" si="14"/>
        <v>F</v>
      </c>
      <c r="N175" t="str">
        <f t="shared" si="15"/>
        <v>FAIL</v>
      </c>
      <c r="O175" t="str">
        <f t="shared" si="16"/>
        <v>At Risk</v>
      </c>
    </row>
    <row r="176" spans="1:15">
      <c r="A176">
        <v>175</v>
      </c>
      <c r="B176" t="s">
        <v>192</v>
      </c>
      <c r="C176" t="s">
        <v>16</v>
      </c>
      <c r="D176">
        <v>14</v>
      </c>
      <c r="E176" t="s">
        <v>20</v>
      </c>
      <c r="F176">
        <v>63</v>
      </c>
      <c r="G176">
        <v>9</v>
      </c>
      <c r="H176">
        <v>91</v>
      </c>
      <c r="I176">
        <v>88</v>
      </c>
      <c r="J176">
        <f t="shared" si="12"/>
        <v>251</v>
      </c>
      <c r="K176">
        <f t="shared" si="17"/>
        <v>62.75</v>
      </c>
      <c r="L176" s="3">
        <f t="shared" si="13"/>
        <v>0.62749999999999995</v>
      </c>
      <c r="M176" t="str">
        <f t="shared" si="14"/>
        <v>C</v>
      </c>
      <c r="N176" t="str">
        <f t="shared" si="15"/>
        <v>PASS</v>
      </c>
      <c r="O176" t="str">
        <f t="shared" si="16"/>
        <v>Needs Improvement</v>
      </c>
    </row>
    <row r="177" spans="1:15">
      <c r="A177">
        <v>176</v>
      </c>
      <c r="B177" t="s">
        <v>193</v>
      </c>
      <c r="C177" t="s">
        <v>19</v>
      </c>
      <c r="D177">
        <v>14</v>
      </c>
      <c r="E177" t="s">
        <v>17</v>
      </c>
      <c r="F177">
        <v>95</v>
      </c>
      <c r="G177">
        <v>21</v>
      </c>
      <c r="H177">
        <v>51</v>
      </c>
      <c r="I177">
        <v>33</v>
      </c>
      <c r="J177">
        <f t="shared" si="12"/>
        <v>200</v>
      </c>
      <c r="K177">
        <f t="shared" si="17"/>
        <v>50</v>
      </c>
      <c r="L177" s="3">
        <f t="shared" si="13"/>
        <v>0.5</v>
      </c>
      <c r="M177" t="str">
        <f t="shared" si="14"/>
        <v>D</v>
      </c>
      <c r="N177" t="str">
        <f t="shared" si="15"/>
        <v>PASS</v>
      </c>
      <c r="O177" t="str">
        <f t="shared" si="16"/>
        <v>Needs Improvement</v>
      </c>
    </row>
    <row r="178" spans="1:15">
      <c r="A178">
        <v>177</v>
      </c>
      <c r="B178" t="s">
        <v>194</v>
      </c>
      <c r="C178" t="s">
        <v>19</v>
      </c>
      <c r="D178">
        <v>13</v>
      </c>
      <c r="E178" t="s">
        <v>20</v>
      </c>
      <c r="F178">
        <v>92</v>
      </c>
      <c r="G178">
        <v>36</v>
      </c>
      <c r="H178">
        <v>59</v>
      </c>
      <c r="I178">
        <v>48</v>
      </c>
      <c r="J178">
        <f t="shared" si="12"/>
        <v>235</v>
      </c>
      <c r="K178">
        <f t="shared" si="17"/>
        <v>58.75</v>
      </c>
      <c r="L178" s="3">
        <f t="shared" si="13"/>
        <v>0.58750000000000002</v>
      </c>
      <c r="M178" t="str">
        <f t="shared" si="14"/>
        <v>D</v>
      </c>
      <c r="N178" t="str">
        <f t="shared" si="15"/>
        <v>PASS</v>
      </c>
      <c r="O178" t="str">
        <f t="shared" si="16"/>
        <v>Needs Improvement</v>
      </c>
    </row>
    <row r="179" spans="1:15">
      <c r="A179">
        <v>178</v>
      </c>
      <c r="B179" t="s">
        <v>195</v>
      </c>
      <c r="C179" t="s">
        <v>16</v>
      </c>
      <c r="D179">
        <v>15</v>
      </c>
      <c r="E179" t="s">
        <v>24</v>
      </c>
      <c r="F179">
        <v>87</v>
      </c>
      <c r="G179">
        <v>39</v>
      </c>
      <c r="H179">
        <v>48</v>
      </c>
      <c r="I179">
        <v>53</v>
      </c>
      <c r="J179">
        <f t="shared" si="12"/>
        <v>227</v>
      </c>
      <c r="K179">
        <f t="shared" si="17"/>
        <v>56.75</v>
      </c>
      <c r="L179" s="3">
        <f t="shared" si="13"/>
        <v>0.5675</v>
      </c>
      <c r="M179" t="str">
        <f t="shared" si="14"/>
        <v>D</v>
      </c>
      <c r="N179" t="str">
        <f t="shared" si="15"/>
        <v>PASS</v>
      </c>
      <c r="O179" t="str">
        <f t="shared" si="16"/>
        <v>Needs Improvement</v>
      </c>
    </row>
    <row r="180" spans="1:15">
      <c r="A180">
        <v>179</v>
      </c>
      <c r="B180" t="s">
        <v>196</v>
      </c>
      <c r="C180" t="s">
        <v>19</v>
      </c>
      <c r="D180">
        <v>13</v>
      </c>
      <c r="E180" t="s">
        <v>20</v>
      </c>
      <c r="F180">
        <v>95</v>
      </c>
      <c r="G180">
        <v>73</v>
      </c>
      <c r="H180">
        <v>91</v>
      </c>
      <c r="I180">
        <v>61</v>
      </c>
      <c r="J180">
        <f t="shared" si="12"/>
        <v>320</v>
      </c>
      <c r="K180">
        <f t="shared" si="17"/>
        <v>80</v>
      </c>
      <c r="L180" s="3">
        <f t="shared" si="13"/>
        <v>0.8</v>
      </c>
      <c r="M180" t="str">
        <f t="shared" si="14"/>
        <v>A</v>
      </c>
      <c r="N180" t="str">
        <f t="shared" si="15"/>
        <v>PASS</v>
      </c>
      <c r="O180" t="str">
        <f t="shared" si="16"/>
        <v>GOOD</v>
      </c>
    </row>
    <row r="181" spans="1:15">
      <c r="A181">
        <v>180</v>
      </c>
      <c r="B181" t="s">
        <v>197</v>
      </c>
      <c r="C181" t="s">
        <v>16</v>
      </c>
      <c r="D181">
        <v>15</v>
      </c>
      <c r="E181" t="s">
        <v>17</v>
      </c>
      <c r="F181">
        <v>32</v>
      </c>
      <c r="G181">
        <v>5</v>
      </c>
      <c r="H181">
        <v>53</v>
      </c>
      <c r="I181">
        <v>49</v>
      </c>
      <c r="J181">
        <f t="shared" si="12"/>
        <v>139</v>
      </c>
      <c r="K181">
        <f t="shared" si="17"/>
        <v>34.75</v>
      </c>
      <c r="L181" s="3">
        <f t="shared" si="13"/>
        <v>0.34749999999999998</v>
      </c>
      <c r="M181" t="str">
        <f t="shared" si="14"/>
        <v>F</v>
      </c>
      <c r="N181" t="str">
        <f t="shared" si="15"/>
        <v>FAIL</v>
      </c>
      <c r="O181" t="str">
        <f t="shared" si="16"/>
        <v>At Risk</v>
      </c>
    </row>
    <row r="182" spans="1:15">
      <c r="A182">
        <v>181</v>
      </c>
      <c r="B182" t="s">
        <v>198</v>
      </c>
      <c r="C182" t="s">
        <v>19</v>
      </c>
      <c r="D182">
        <v>13</v>
      </c>
      <c r="E182" t="s">
        <v>17</v>
      </c>
      <c r="F182">
        <v>98</v>
      </c>
      <c r="G182">
        <v>100</v>
      </c>
      <c r="H182">
        <v>23</v>
      </c>
      <c r="I182">
        <v>84</v>
      </c>
      <c r="J182">
        <f t="shared" si="12"/>
        <v>305</v>
      </c>
      <c r="K182">
        <f t="shared" si="17"/>
        <v>76.25</v>
      </c>
      <c r="L182" s="3">
        <f t="shared" si="13"/>
        <v>0.76249999999999996</v>
      </c>
      <c r="M182" t="str">
        <f t="shared" si="14"/>
        <v>B</v>
      </c>
      <c r="N182" t="str">
        <f t="shared" si="15"/>
        <v>PASS</v>
      </c>
      <c r="O182" t="str">
        <f t="shared" si="16"/>
        <v>GOOD</v>
      </c>
    </row>
    <row r="183" spans="1:15">
      <c r="A183">
        <v>182</v>
      </c>
      <c r="B183" t="s">
        <v>199</v>
      </c>
      <c r="C183" t="s">
        <v>19</v>
      </c>
      <c r="D183">
        <v>13</v>
      </c>
      <c r="E183" t="s">
        <v>24</v>
      </c>
      <c r="F183">
        <v>62</v>
      </c>
      <c r="G183">
        <v>42</v>
      </c>
      <c r="H183">
        <v>87</v>
      </c>
      <c r="I183">
        <v>51</v>
      </c>
      <c r="J183">
        <f t="shared" si="12"/>
        <v>242</v>
      </c>
      <c r="K183">
        <f t="shared" si="17"/>
        <v>60.5</v>
      </c>
      <c r="L183" s="3">
        <f t="shared" si="13"/>
        <v>0.60499999999999998</v>
      </c>
      <c r="M183" t="str">
        <f t="shared" si="14"/>
        <v>C</v>
      </c>
      <c r="N183" t="str">
        <f t="shared" si="15"/>
        <v>PASS</v>
      </c>
      <c r="O183" t="str">
        <f t="shared" si="16"/>
        <v>Needs Improvement</v>
      </c>
    </row>
    <row r="184" spans="1:15">
      <c r="A184">
        <v>183</v>
      </c>
      <c r="B184" t="s">
        <v>200</v>
      </c>
      <c r="C184" t="s">
        <v>16</v>
      </c>
      <c r="D184">
        <v>15</v>
      </c>
      <c r="E184" t="s">
        <v>24</v>
      </c>
      <c r="F184">
        <v>60</v>
      </c>
      <c r="G184">
        <v>42</v>
      </c>
      <c r="H184">
        <v>49</v>
      </c>
      <c r="I184">
        <v>25</v>
      </c>
      <c r="J184">
        <f t="shared" si="12"/>
        <v>176</v>
      </c>
      <c r="K184">
        <f t="shared" si="17"/>
        <v>44</v>
      </c>
      <c r="L184" s="3">
        <f t="shared" si="13"/>
        <v>0.44</v>
      </c>
      <c r="M184" t="str">
        <f t="shared" si="14"/>
        <v>F</v>
      </c>
      <c r="N184" t="str">
        <f t="shared" si="15"/>
        <v>FAIL</v>
      </c>
      <c r="O184" t="str">
        <f t="shared" si="16"/>
        <v>At Risk</v>
      </c>
    </row>
    <row r="185" spans="1:15">
      <c r="A185">
        <v>184</v>
      </c>
      <c r="B185" t="s">
        <v>201</v>
      </c>
      <c r="C185" t="s">
        <v>16</v>
      </c>
      <c r="D185">
        <v>13</v>
      </c>
      <c r="E185" t="s">
        <v>17</v>
      </c>
      <c r="F185">
        <v>53</v>
      </c>
      <c r="G185">
        <v>37</v>
      </c>
      <c r="H185">
        <v>83</v>
      </c>
      <c r="I185">
        <v>64</v>
      </c>
      <c r="J185">
        <f t="shared" si="12"/>
        <v>237</v>
      </c>
      <c r="K185">
        <f t="shared" si="17"/>
        <v>59.25</v>
      </c>
      <c r="L185" s="3">
        <f t="shared" si="13"/>
        <v>0.59250000000000003</v>
      </c>
      <c r="M185" t="str">
        <f t="shared" si="14"/>
        <v>D</v>
      </c>
      <c r="N185" t="str">
        <f t="shared" si="15"/>
        <v>PASS</v>
      </c>
      <c r="O185" t="str">
        <f t="shared" si="16"/>
        <v>Needs Improvement</v>
      </c>
    </row>
    <row r="186" spans="1:15">
      <c r="A186">
        <v>185</v>
      </c>
      <c r="B186" t="s">
        <v>202</v>
      </c>
      <c r="C186" t="s">
        <v>19</v>
      </c>
      <c r="D186">
        <v>14</v>
      </c>
      <c r="E186" t="s">
        <v>20</v>
      </c>
      <c r="F186">
        <v>75</v>
      </c>
      <c r="G186">
        <v>14</v>
      </c>
      <c r="H186">
        <v>54</v>
      </c>
      <c r="I186">
        <v>68</v>
      </c>
      <c r="J186">
        <f t="shared" si="12"/>
        <v>211</v>
      </c>
      <c r="K186">
        <f t="shared" si="17"/>
        <v>52.75</v>
      </c>
      <c r="L186" s="3">
        <f t="shared" si="13"/>
        <v>0.52749999999999997</v>
      </c>
      <c r="M186" t="str">
        <f t="shared" si="14"/>
        <v>D</v>
      </c>
      <c r="N186" t="str">
        <f t="shared" si="15"/>
        <v>PASS</v>
      </c>
      <c r="O186" t="str">
        <f t="shared" si="16"/>
        <v>Needs Improvement</v>
      </c>
    </row>
    <row r="187" spans="1:15">
      <c r="A187">
        <v>186</v>
      </c>
      <c r="B187" t="s">
        <v>203</v>
      </c>
      <c r="C187" t="s">
        <v>19</v>
      </c>
      <c r="D187">
        <v>15</v>
      </c>
      <c r="E187" t="s">
        <v>24</v>
      </c>
      <c r="F187">
        <v>48</v>
      </c>
      <c r="G187">
        <v>2</v>
      </c>
      <c r="H187">
        <v>63</v>
      </c>
      <c r="I187">
        <v>91</v>
      </c>
      <c r="J187">
        <f t="shared" si="12"/>
        <v>204</v>
      </c>
      <c r="K187">
        <f t="shared" si="17"/>
        <v>51</v>
      </c>
      <c r="L187" s="3">
        <f t="shared" si="13"/>
        <v>0.51</v>
      </c>
      <c r="M187" t="str">
        <f t="shared" si="14"/>
        <v>D</v>
      </c>
      <c r="N187" t="str">
        <f t="shared" si="15"/>
        <v>PASS</v>
      </c>
      <c r="O187" t="str">
        <f t="shared" si="16"/>
        <v>Needs Improvement</v>
      </c>
    </row>
    <row r="188" spans="1:15">
      <c r="A188">
        <v>187</v>
      </c>
      <c r="B188" t="s">
        <v>204</v>
      </c>
      <c r="C188" t="s">
        <v>19</v>
      </c>
      <c r="D188">
        <v>14</v>
      </c>
      <c r="E188" t="s">
        <v>24</v>
      </c>
      <c r="F188">
        <v>27</v>
      </c>
      <c r="G188">
        <v>11</v>
      </c>
      <c r="H188">
        <v>18</v>
      </c>
      <c r="I188">
        <v>92</v>
      </c>
      <c r="J188">
        <f t="shared" si="12"/>
        <v>148</v>
      </c>
      <c r="K188">
        <f t="shared" si="17"/>
        <v>37</v>
      </c>
      <c r="L188" s="3">
        <f t="shared" si="13"/>
        <v>0.37</v>
      </c>
      <c r="M188" t="str">
        <f t="shared" si="14"/>
        <v>F</v>
      </c>
      <c r="N188" t="str">
        <f t="shared" si="15"/>
        <v>FAIL</v>
      </c>
      <c r="O188" t="str">
        <f t="shared" si="16"/>
        <v>At Risk</v>
      </c>
    </row>
    <row r="189" spans="1:15">
      <c r="A189">
        <v>188</v>
      </c>
      <c r="B189" t="s">
        <v>205</v>
      </c>
      <c r="C189" t="s">
        <v>16</v>
      </c>
      <c r="D189">
        <v>14</v>
      </c>
      <c r="E189" t="s">
        <v>20</v>
      </c>
      <c r="F189">
        <v>60</v>
      </c>
      <c r="G189">
        <v>55</v>
      </c>
      <c r="H189">
        <v>30</v>
      </c>
      <c r="I189">
        <v>83</v>
      </c>
      <c r="J189">
        <f t="shared" si="12"/>
        <v>228</v>
      </c>
      <c r="K189">
        <f t="shared" si="17"/>
        <v>57</v>
      </c>
      <c r="L189" s="3">
        <f t="shared" si="13"/>
        <v>0.56999999999999995</v>
      </c>
      <c r="M189" t="str">
        <f t="shared" si="14"/>
        <v>D</v>
      </c>
      <c r="N189" t="str">
        <f t="shared" si="15"/>
        <v>PASS</v>
      </c>
      <c r="O189" t="str">
        <f t="shared" si="16"/>
        <v>Needs Improvement</v>
      </c>
    </row>
    <row r="190" spans="1:15">
      <c r="A190">
        <v>189</v>
      </c>
      <c r="B190" t="s">
        <v>206</v>
      </c>
      <c r="C190" t="s">
        <v>16</v>
      </c>
      <c r="D190">
        <v>15</v>
      </c>
      <c r="E190" t="s">
        <v>17</v>
      </c>
      <c r="F190">
        <v>87</v>
      </c>
      <c r="G190">
        <v>21</v>
      </c>
      <c r="H190">
        <v>41</v>
      </c>
      <c r="I190">
        <v>24</v>
      </c>
      <c r="J190">
        <f t="shared" si="12"/>
        <v>173</v>
      </c>
      <c r="K190">
        <f t="shared" si="17"/>
        <v>43.25</v>
      </c>
      <c r="L190" s="3">
        <f t="shared" si="13"/>
        <v>0.4325</v>
      </c>
      <c r="M190" t="str">
        <f t="shared" si="14"/>
        <v>F</v>
      </c>
      <c r="N190" t="str">
        <f t="shared" si="15"/>
        <v>FAIL</v>
      </c>
      <c r="O190" t="str">
        <f t="shared" si="16"/>
        <v>At Risk</v>
      </c>
    </row>
    <row r="191" spans="1:15">
      <c r="A191">
        <v>190</v>
      </c>
      <c r="B191" t="s">
        <v>207</v>
      </c>
      <c r="C191" t="s">
        <v>19</v>
      </c>
      <c r="D191">
        <v>13</v>
      </c>
      <c r="E191" t="s">
        <v>24</v>
      </c>
      <c r="F191">
        <v>14</v>
      </c>
      <c r="G191">
        <v>6</v>
      </c>
      <c r="H191">
        <v>29</v>
      </c>
      <c r="I191">
        <v>72</v>
      </c>
      <c r="J191">
        <f t="shared" si="12"/>
        <v>121</v>
      </c>
      <c r="K191">
        <f t="shared" si="17"/>
        <v>30.25</v>
      </c>
      <c r="L191" s="3">
        <f t="shared" si="13"/>
        <v>0.30249999999999999</v>
      </c>
      <c r="M191" t="str">
        <f t="shared" si="14"/>
        <v>F</v>
      </c>
      <c r="N191" t="str">
        <f t="shared" si="15"/>
        <v>FAIL</v>
      </c>
      <c r="O191" t="str">
        <f t="shared" si="16"/>
        <v>At Risk</v>
      </c>
    </row>
    <row r="192" spans="1:15">
      <c r="A192">
        <v>191</v>
      </c>
      <c r="B192" t="s">
        <v>208</v>
      </c>
      <c r="C192" t="s">
        <v>19</v>
      </c>
      <c r="D192">
        <v>14</v>
      </c>
      <c r="E192" t="s">
        <v>17</v>
      </c>
      <c r="F192">
        <v>38</v>
      </c>
      <c r="G192">
        <v>66</v>
      </c>
      <c r="H192">
        <v>53</v>
      </c>
      <c r="I192">
        <v>32</v>
      </c>
      <c r="J192">
        <f t="shared" si="12"/>
        <v>189</v>
      </c>
      <c r="K192">
        <f t="shared" si="17"/>
        <v>47.25</v>
      </c>
      <c r="L192" s="3">
        <f t="shared" si="13"/>
        <v>0.47249999999999998</v>
      </c>
      <c r="M192" t="str">
        <f t="shared" si="14"/>
        <v>F</v>
      </c>
      <c r="N192" t="str">
        <f t="shared" si="15"/>
        <v>FAIL</v>
      </c>
      <c r="O192" t="str">
        <f t="shared" si="16"/>
        <v>At Risk</v>
      </c>
    </row>
    <row r="193" spans="1:15">
      <c r="A193">
        <v>192</v>
      </c>
      <c r="B193" t="s">
        <v>209</v>
      </c>
      <c r="C193" t="s">
        <v>19</v>
      </c>
      <c r="D193">
        <v>13</v>
      </c>
      <c r="E193" t="s">
        <v>20</v>
      </c>
      <c r="F193">
        <v>39</v>
      </c>
      <c r="G193">
        <v>14</v>
      </c>
      <c r="H193">
        <v>77</v>
      </c>
      <c r="I193">
        <v>53</v>
      </c>
      <c r="J193">
        <f t="shared" si="12"/>
        <v>183</v>
      </c>
      <c r="K193">
        <f t="shared" si="17"/>
        <v>45.75</v>
      </c>
      <c r="L193" s="3">
        <f t="shared" si="13"/>
        <v>0.45750000000000002</v>
      </c>
      <c r="M193" t="str">
        <f t="shared" si="14"/>
        <v>F</v>
      </c>
      <c r="N193" t="str">
        <f t="shared" si="15"/>
        <v>FAIL</v>
      </c>
      <c r="O193" t="str">
        <f t="shared" si="16"/>
        <v>At Risk</v>
      </c>
    </row>
    <row r="194" spans="1:15">
      <c r="A194">
        <v>193</v>
      </c>
      <c r="B194" t="s">
        <v>210</v>
      </c>
      <c r="C194" t="s">
        <v>19</v>
      </c>
      <c r="D194">
        <v>15</v>
      </c>
      <c r="E194" t="s">
        <v>24</v>
      </c>
      <c r="F194">
        <v>50</v>
      </c>
      <c r="G194">
        <v>48</v>
      </c>
      <c r="H194">
        <v>13</v>
      </c>
      <c r="I194">
        <v>15</v>
      </c>
      <c r="J194">
        <f t="shared" ref="J194:J257" si="18">SUM(F194:I194)</f>
        <v>126</v>
      </c>
      <c r="K194">
        <f t="shared" si="17"/>
        <v>31.5</v>
      </c>
      <c r="L194" s="3">
        <f t="shared" ref="L194:L251" si="19">J194/400</f>
        <v>0.315</v>
      </c>
      <c r="M194" t="str">
        <f t="shared" ref="M194:M257" si="20">IF(L194&gt;=90%,"A+", IF(L194&gt;=80%, "A", IF(L194&gt;=70%, "B", IF(L194&gt;=60%, "C", IF(L194&gt;=50%, "D", "F")))))</f>
        <v>F</v>
      </c>
      <c r="N194" t="str">
        <f t="shared" ref="N194:N251" si="21">IF(L194&gt;=50%, "PASS", "FAIL")</f>
        <v>FAIL</v>
      </c>
      <c r="O194" t="str">
        <f t="shared" ref="O194:O251" si="22">IF(L194&gt;=85%, "EXCELLENT", IF(L194&gt;=70%, "GOOD", IF(L194&gt;=50%, "Needs Improvement", "At Risk")))</f>
        <v>At Risk</v>
      </c>
    </row>
    <row r="195" spans="1:15">
      <c r="A195">
        <v>194</v>
      </c>
      <c r="B195" t="s">
        <v>211</v>
      </c>
      <c r="C195" t="s">
        <v>16</v>
      </c>
      <c r="D195">
        <v>13</v>
      </c>
      <c r="E195" t="s">
        <v>20</v>
      </c>
      <c r="F195">
        <v>48</v>
      </c>
      <c r="G195">
        <v>4</v>
      </c>
      <c r="H195">
        <v>79</v>
      </c>
      <c r="I195">
        <v>76</v>
      </c>
      <c r="J195">
        <f t="shared" si="18"/>
        <v>207</v>
      </c>
      <c r="K195">
        <f t="shared" ref="K195:K251" si="23">AVERAGE(F195:I195)</f>
        <v>51.75</v>
      </c>
      <c r="L195" s="3">
        <f t="shared" si="19"/>
        <v>0.51749999999999996</v>
      </c>
      <c r="M195" t="str">
        <f t="shared" si="20"/>
        <v>D</v>
      </c>
      <c r="N195" t="str">
        <f t="shared" si="21"/>
        <v>PASS</v>
      </c>
      <c r="O195" t="str">
        <f t="shared" si="22"/>
        <v>Needs Improvement</v>
      </c>
    </row>
    <row r="196" spans="1:15">
      <c r="A196">
        <v>195</v>
      </c>
      <c r="B196" t="s">
        <v>212</v>
      </c>
      <c r="C196" t="s">
        <v>19</v>
      </c>
      <c r="D196">
        <v>15</v>
      </c>
      <c r="E196" t="s">
        <v>17</v>
      </c>
      <c r="F196">
        <v>13</v>
      </c>
      <c r="G196">
        <v>35</v>
      </c>
      <c r="H196">
        <v>71</v>
      </c>
      <c r="I196">
        <v>30</v>
      </c>
      <c r="J196">
        <f t="shared" si="18"/>
        <v>149</v>
      </c>
      <c r="K196">
        <f t="shared" si="23"/>
        <v>37.25</v>
      </c>
      <c r="L196" s="3">
        <f t="shared" si="19"/>
        <v>0.3725</v>
      </c>
      <c r="M196" t="str">
        <f t="shared" si="20"/>
        <v>F</v>
      </c>
      <c r="N196" t="str">
        <f t="shared" si="21"/>
        <v>FAIL</v>
      </c>
      <c r="O196" t="str">
        <f t="shared" si="22"/>
        <v>At Risk</v>
      </c>
    </row>
    <row r="197" spans="1:15">
      <c r="A197">
        <v>196</v>
      </c>
      <c r="B197" t="s">
        <v>213</v>
      </c>
      <c r="C197" t="s">
        <v>19</v>
      </c>
      <c r="D197">
        <v>14</v>
      </c>
      <c r="E197" t="s">
        <v>24</v>
      </c>
      <c r="F197">
        <v>92</v>
      </c>
      <c r="G197">
        <v>57</v>
      </c>
      <c r="H197">
        <v>31</v>
      </c>
      <c r="I197">
        <v>75</v>
      </c>
      <c r="J197">
        <f t="shared" si="18"/>
        <v>255</v>
      </c>
      <c r="K197">
        <f t="shared" si="23"/>
        <v>63.75</v>
      </c>
      <c r="L197" s="3">
        <f t="shared" si="19"/>
        <v>0.63749999999999996</v>
      </c>
      <c r="M197" t="str">
        <f t="shared" si="20"/>
        <v>C</v>
      </c>
      <c r="N197" t="str">
        <f t="shared" si="21"/>
        <v>PASS</v>
      </c>
      <c r="O197" t="str">
        <f t="shared" si="22"/>
        <v>Needs Improvement</v>
      </c>
    </row>
    <row r="198" spans="1:15">
      <c r="A198">
        <v>197</v>
      </c>
      <c r="B198" t="s">
        <v>214</v>
      </c>
      <c r="C198" t="s">
        <v>16</v>
      </c>
      <c r="D198">
        <v>14</v>
      </c>
      <c r="E198" t="s">
        <v>24</v>
      </c>
      <c r="F198">
        <v>82</v>
      </c>
      <c r="G198">
        <v>4</v>
      </c>
      <c r="H198">
        <v>56</v>
      </c>
      <c r="I198">
        <v>22</v>
      </c>
      <c r="J198">
        <f t="shared" si="18"/>
        <v>164</v>
      </c>
      <c r="K198">
        <f t="shared" si="23"/>
        <v>41</v>
      </c>
      <c r="L198" s="3">
        <f t="shared" si="19"/>
        <v>0.41</v>
      </c>
      <c r="M198" t="str">
        <f t="shared" si="20"/>
        <v>F</v>
      </c>
      <c r="N198" t="str">
        <f t="shared" si="21"/>
        <v>FAIL</v>
      </c>
      <c r="O198" t="str">
        <f t="shared" si="22"/>
        <v>At Risk</v>
      </c>
    </row>
    <row r="199" spans="1:15">
      <c r="A199">
        <v>198</v>
      </c>
      <c r="B199" t="s">
        <v>215</v>
      </c>
      <c r="C199" t="s">
        <v>16</v>
      </c>
      <c r="D199">
        <v>14</v>
      </c>
      <c r="E199" t="s">
        <v>20</v>
      </c>
      <c r="F199">
        <v>98</v>
      </c>
      <c r="G199">
        <v>13</v>
      </c>
      <c r="H199">
        <v>35</v>
      </c>
      <c r="I199">
        <v>4</v>
      </c>
      <c r="J199">
        <f t="shared" si="18"/>
        <v>150</v>
      </c>
      <c r="K199">
        <f t="shared" si="23"/>
        <v>37.5</v>
      </c>
      <c r="L199" s="3">
        <f t="shared" si="19"/>
        <v>0.375</v>
      </c>
      <c r="M199" t="str">
        <f t="shared" si="20"/>
        <v>F</v>
      </c>
      <c r="N199" t="str">
        <f t="shared" si="21"/>
        <v>FAIL</v>
      </c>
      <c r="O199" t="str">
        <f t="shared" si="22"/>
        <v>At Risk</v>
      </c>
    </row>
    <row r="200" spans="1:15">
      <c r="A200">
        <v>199</v>
      </c>
      <c r="B200" t="s">
        <v>216</v>
      </c>
      <c r="C200" t="s">
        <v>19</v>
      </c>
      <c r="D200">
        <v>14</v>
      </c>
      <c r="E200" t="s">
        <v>17</v>
      </c>
      <c r="F200">
        <v>30</v>
      </c>
      <c r="G200">
        <v>62</v>
      </c>
      <c r="H200">
        <v>32</v>
      </c>
      <c r="I200">
        <v>60</v>
      </c>
      <c r="J200">
        <f t="shared" si="18"/>
        <v>184</v>
      </c>
      <c r="K200">
        <f t="shared" si="23"/>
        <v>46</v>
      </c>
      <c r="L200" s="3">
        <f t="shared" si="19"/>
        <v>0.46</v>
      </c>
      <c r="M200" t="str">
        <f t="shared" si="20"/>
        <v>F</v>
      </c>
      <c r="N200" t="str">
        <f t="shared" si="21"/>
        <v>FAIL</v>
      </c>
      <c r="O200" t="str">
        <f t="shared" si="22"/>
        <v>At Risk</v>
      </c>
    </row>
    <row r="201" spans="1:15">
      <c r="A201">
        <v>200</v>
      </c>
      <c r="B201" t="s">
        <v>216</v>
      </c>
      <c r="C201" t="s">
        <v>16</v>
      </c>
      <c r="D201">
        <v>15</v>
      </c>
      <c r="E201" t="s">
        <v>24</v>
      </c>
      <c r="F201">
        <v>57</v>
      </c>
      <c r="G201">
        <v>68</v>
      </c>
      <c r="H201">
        <v>56</v>
      </c>
      <c r="I201">
        <v>23</v>
      </c>
      <c r="J201">
        <f t="shared" si="18"/>
        <v>204</v>
      </c>
      <c r="K201">
        <f t="shared" si="23"/>
        <v>51</v>
      </c>
      <c r="L201" s="3">
        <f t="shared" si="19"/>
        <v>0.51</v>
      </c>
      <c r="M201" t="str">
        <f t="shared" si="20"/>
        <v>D</v>
      </c>
      <c r="N201" t="str">
        <f t="shared" si="21"/>
        <v>PASS</v>
      </c>
      <c r="O201" t="str">
        <f t="shared" si="22"/>
        <v>Needs Improvement</v>
      </c>
    </row>
    <row r="202" spans="1:15">
      <c r="A202">
        <v>201</v>
      </c>
      <c r="B202" t="s">
        <v>217</v>
      </c>
      <c r="C202" t="s">
        <v>16</v>
      </c>
      <c r="D202">
        <v>15</v>
      </c>
      <c r="E202" t="s">
        <v>20</v>
      </c>
      <c r="F202">
        <v>84</v>
      </c>
      <c r="G202">
        <v>97</v>
      </c>
      <c r="H202">
        <v>88</v>
      </c>
      <c r="I202">
        <v>64</v>
      </c>
      <c r="J202">
        <f t="shared" si="18"/>
        <v>333</v>
      </c>
      <c r="K202">
        <f t="shared" si="23"/>
        <v>83.25</v>
      </c>
      <c r="L202" s="3">
        <f t="shared" si="19"/>
        <v>0.83250000000000002</v>
      </c>
      <c r="M202" t="str">
        <f t="shared" si="20"/>
        <v>A</v>
      </c>
      <c r="N202" t="str">
        <f t="shared" si="21"/>
        <v>PASS</v>
      </c>
      <c r="O202" t="str">
        <f t="shared" si="22"/>
        <v>GOOD</v>
      </c>
    </row>
    <row r="203" spans="1:15">
      <c r="A203">
        <v>202</v>
      </c>
      <c r="B203" t="s">
        <v>218</v>
      </c>
      <c r="C203" t="s">
        <v>19</v>
      </c>
      <c r="D203">
        <v>14</v>
      </c>
      <c r="E203" t="s">
        <v>17</v>
      </c>
      <c r="F203">
        <v>89</v>
      </c>
      <c r="G203">
        <v>59</v>
      </c>
      <c r="H203">
        <v>33</v>
      </c>
      <c r="I203">
        <v>91</v>
      </c>
      <c r="J203">
        <f t="shared" si="18"/>
        <v>272</v>
      </c>
      <c r="K203">
        <f t="shared" si="23"/>
        <v>68</v>
      </c>
      <c r="L203" s="3">
        <f t="shared" si="19"/>
        <v>0.68</v>
      </c>
      <c r="M203" t="str">
        <f t="shared" si="20"/>
        <v>C</v>
      </c>
      <c r="N203" t="str">
        <f t="shared" si="21"/>
        <v>PASS</v>
      </c>
      <c r="O203" t="str">
        <f t="shared" si="22"/>
        <v>Needs Improvement</v>
      </c>
    </row>
    <row r="204" spans="1:15">
      <c r="A204">
        <v>203</v>
      </c>
      <c r="B204" t="s">
        <v>219</v>
      </c>
      <c r="C204" t="s">
        <v>19</v>
      </c>
      <c r="D204">
        <v>14</v>
      </c>
      <c r="E204" t="s">
        <v>20</v>
      </c>
      <c r="F204">
        <v>45</v>
      </c>
      <c r="G204">
        <v>21</v>
      </c>
      <c r="H204">
        <v>61</v>
      </c>
      <c r="I204">
        <v>13</v>
      </c>
      <c r="J204">
        <f t="shared" si="18"/>
        <v>140</v>
      </c>
      <c r="K204">
        <f t="shared" si="23"/>
        <v>35</v>
      </c>
      <c r="L204" s="3">
        <f t="shared" si="19"/>
        <v>0.35</v>
      </c>
      <c r="M204" t="str">
        <f t="shared" si="20"/>
        <v>F</v>
      </c>
      <c r="N204" t="str">
        <f t="shared" si="21"/>
        <v>FAIL</v>
      </c>
      <c r="O204" t="str">
        <f t="shared" si="22"/>
        <v>At Risk</v>
      </c>
    </row>
    <row r="205" spans="1:15">
      <c r="A205">
        <v>204</v>
      </c>
      <c r="B205" t="s">
        <v>220</v>
      </c>
      <c r="C205" t="s">
        <v>19</v>
      </c>
      <c r="D205">
        <v>14</v>
      </c>
      <c r="E205" t="s">
        <v>20</v>
      </c>
      <c r="F205">
        <v>84</v>
      </c>
      <c r="G205">
        <v>10</v>
      </c>
      <c r="H205">
        <v>71</v>
      </c>
      <c r="I205">
        <v>8</v>
      </c>
      <c r="J205">
        <f t="shared" si="18"/>
        <v>173</v>
      </c>
      <c r="K205">
        <f t="shared" si="23"/>
        <v>43.25</v>
      </c>
      <c r="L205" s="3">
        <f t="shared" si="19"/>
        <v>0.4325</v>
      </c>
      <c r="M205" t="str">
        <f t="shared" si="20"/>
        <v>F</v>
      </c>
      <c r="N205" t="str">
        <f t="shared" si="21"/>
        <v>FAIL</v>
      </c>
      <c r="O205" t="str">
        <f t="shared" si="22"/>
        <v>At Risk</v>
      </c>
    </row>
    <row r="206" spans="1:15">
      <c r="A206">
        <v>205</v>
      </c>
      <c r="B206" t="s">
        <v>221</v>
      </c>
      <c r="C206" t="s">
        <v>16</v>
      </c>
      <c r="D206">
        <v>13</v>
      </c>
      <c r="E206" t="s">
        <v>17</v>
      </c>
      <c r="F206">
        <v>7</v>
      </c>
      <c r="G206">
        <v>47</v>
      </c>
      <c r="H206">
        <v>39</v>
      </c>
      <c r="I206">
        <v>16</v>
      </c>
      <c r="J206">
        <f t="shared" si="18"/>
        <v>109</v>
      </c>
      <c r="K206">
        <f t="shared" si="23"/>
        <v>27.25</v>
      </c>
      <c r="L206" s="3">
        <f t="shared" si="19"/>
        <v>0.27250000000000002</v>
      </c>
      <c r="M206" t="str">
        <f t="shared" si="20"/>
        <v>F</v>
      </c>
      <c r="N206" t="str">
        <f t="shared" si="21"/>
        <v>FAIL</v>
      </c>
      <c r="O206" t="str">
        <f t="shared" si="22"/>
        <v>At Risk</v>
      </c>
    </row>
    <row r="207" spans="1:15">
      <c r="A207">
        <v>206</v>
      </c>
      <c r="B207" t="s">
        <v>222</v>
      </c>
      <c r="C207" t="s">
        <v>19</v>
      </c>
      <c r="D207">
        <v>15</v>
      </c>
      <c r="E207" t="s">
        <v>17</v>
      </c>
      <c r="F207">
        <v>54</v>
      </c>
      <c r="G207">
        <v>89</v>
      </c>
      <c r="H207">
        <v>59</v>
      </c>
      <c r="I207">
        <v>88</v>
      </c>
      <c r="J207">
        <f t="shared" si="18"/>
        <v>290</v>
      </c>
      <c r="K207">
        <f t="shared" si="23"/>
        <v>72.5</v>
      </c>
      <c r="L207" s="3">
        <f t="shared" si="19"/>
        <v>0.72499999999999998</v>
      </c>
      <c r="M207" t="str">
        <f t="shared" si="20"/>
        <v>B</v>
      </c>
      <c r="N207" t="str">
        <f t="shared" si="21"/>
        <v>PASS</v>
      </c>
      <c r="O207" t="str">
        <f t="shared" si="22"/>
        <v>GOOD</v>
      </c>
    </row>
    <row r="208" spans="1:15">
      <c r="A208">
        <v>207</v>
      </c>
      <c r="B208" t="s">
        <v>223</v>
      </c>
      <c r="C208" t="s">
        <v>19</v>
      </c>
      <c r="D208">
        <v>14</v>
      </c>
      <c r="E208" t="s">
        <v>17</v>
      </c>
      <c r="F208">
        <v>49</v>
      </c>
      <c r="G208">
        <v>48</v>
      </c>
      <c r="H208">
        <v>81</v>
      </c>
      <c r="I208">
        <v>44</v>
      </c>
      <c r="J208">
        <f t="shared" si="18"/>
        <v>222</v>
      </c>
      <c r="K208">
        <f t="shared" si="23"/>
        <v>55.5</v>
      </c>
      <c r="L208" s="3">
        <f t="shared" si="19"/>
        <v>0.55500000000000005</v>
      </c>
      <c r="M208" t="str">
        <f t="shared" si="20"/>
        <v>D</v>
      </c>
      <c r="N208" t="str">
        <f t="shared" si="21"/>
        <v>PASS</v>
      </c>
      <c r="O208" t="str">
        <f t="shared" si="22"/>
        <v>Needs Improvement</v>
      </c>
    </row>
    <row r="209" spans="1:15">
      <c r="A209">
        <v>208</v>
      </c>
      <c r="B209" t="s">
        <v>224</v>
      </c>
      <c r="C209" t="s">
        <v>19</v>
      </c>
      <c r="D209">
        <v>13</v>
      </c>
      <c r="E209" t="s">
        <v>24</v>
      </c>
      <c r="F209">
        <v>56</v>
      </c>
      <c r="G209">
        <v>12</v>
      </c>
      <c r="H209">
        <v>75</v>
      </c>
      <c r="I209">
        <v>96</v>
      </c>
      <c r="J209">
        <f t="shared" si="18"/>
        <v>239</v>
      </c>
      <c r="K209">
        <f t="shared" si="23"/>
        <v>59.75</v>
      </c>
      <c r="L209" s="3">
        <f t="shared" si="19"/>
        <v>0.59750000000000003</v>
      </c>
      <c r="M209" t="str">
        <f t="shared" si="20"/>
        <v>D</v>
      </c>
      <c r="N209" t="str">
        <f t="shared" si="21"/>
        <v>PASS</v>
      </c>
      <c r="O209" t="str">
        <f t="shared" si="22"/>
        <v>Needs Improvement</v>
      </c>
    </row>
    <row r="210" spans="1:15">
      <c r="A210">
        <v>209</v>
      </c>
      <c r="B210" t="s">
        <v>225</v>
      </c>
      <c r="C210" t="s">
        <v>16</v>
      </c>
      <c r="D210">
        <v>14</v>
      </c>
      <c r="E210" t="s">
        <v>17</v>
      </c>
      <c r="F210">
        <v>59</v>
      </c>
      <c r="G210">
        <v>94</v>
      </c>
      <c r="H210">
        <v>94</v>
      </c>
      <c r="I210">
        <v>47</v>
      </c>
      <c r="J210">
        <f t="shared" si="18"/>
        <v>294</v>
      </c>
      <c r="K210">
        <f t="shared" si="23"/>
        <v>73.5</v>
      </c>
      <c r="L210" s="3">
        <f t="shared" si="19"/>
        <v>0.73499999999999999</v>
      </c>
      <c r="M210" t="str">
        <f t="shared" si="20"/>
        <v>B</v>
      </c>
      <c r="N210" t="str">
        <f t="shared" si="21"/>
        <v>PASS</v>
      </c>
      <c r="O210" t="str">
        <f t="shared" si="22"/>
        <v>GOOD</v>
      </c>
    </row>
    <row r="211" spans="1:15">
      <c r="A211">
        <v>210</v>
      </c>
      <c r="B211" t="s">
        <v>226</v>
      </c>
      <c r="C211" t="s">
        <v>19</v>
      </c>
      <c r="D211">
        <v>13</v>
      </c>
      <c r="E211" t="s">
        <v>24</v>
      </c>
      <c r="F211">
        <v>7</v>
      </c>
      <c r="G211">
        <v>29</v>
      </c>
      <c r="H211">
        <v>30</v>
      </c>
      <c r="I211">
        <v>23</v>
      </c>
      <c r="J211">
        <f t="shared" si="18"/>
        <v>89</v>
      </c>
      <c r="K211">
        <f t="shared" si="23"/>
        <v>22.25</v>
      </c>
      <c r="L211" s="3">
        <f t="shared" si="19"/>
        <v>0.2225</v>
      </c>
      <c r="M211" t="str">
        <f t="shared" si="20"/>
        <v>F</v>
      </c>
      <c r="N211" t="str">
        <f t="shared" si="21"/>
        <v>FAIL</v>
      </c>
      <c r="O211" t="str">
        <f t="shared" si="22"/>
        <v>At Risk</v>
      </c>
    </row>
    <row r="212" spans="1:15">
      <c r="A212">
        <v>211</v>
      </c>
      <c r="B212" t="s">
        <v>227</v>
      </c>
      <c r="C212" t="s">
        <v>19</v>
      </c>
      <c r="D212">
        <v>14</v>
      </c>
      <c r="E212" t="s">
        <v>24</v>
      </c>
      <c r="F212">
        <v>28</v>
      </c>
      <c r="G212">
        <v>30</v>
      </c>
      <c r="H212">
        <v>80</v>
      </c>
      <c r="I212">
        <v>33</v>
      </c>
      <c r="J212">
        <f t="shared" si="18"/>
        <v>171</v>
      </c>
      <c r="K212">
        <f t="shared" si="23"/>
        <v>42.75</v>
      </c>
      <c r="L212" s="3">
        <f t="shared" si="19"/>
        <v>0.42749999999999999</v>
      </c>
      <c r="M212" t="str">
        <f t="shared" si="20"/>
        <v>F</v>
      </c>
      <c r="N212" t="str">
        <f t="shared" si="21"/>
        <v>FAIL</v>
      </c>
      <c r="O212" t="str">
        <f t="shared" si="22"/>
        <v>At Risk</v>
      </c>
    </row>
    <row r="213" spans="1:15">
      <c r="A213">
        <v>212</v>
      </c>
      <c r="B213" t="s">
        <v>228</v>
      </c>
      <c r="C213" t="s">
        <v>19</v>
      </c>
      <c r="D213">
        <v>15</v>
      </c>
      <c r="E213" t="s">
        <v>24</v>
      </c>
      <c r="F213">
        <v>85</v>
      </c>
      <c r="G213">
        <v>8</v>
      </c>
      <c r="H213">
        <v>88</v>
      </c>
      <c r="I213">
        <v>82</v>
      </c>
      <c r="J213">
        <f t="shared" si="18"/>
        <v>263</v>
      </c>
      <c r="K213">
        <f t="shared" si="23"/>
        <v>65.75</v>
      </c>
      <c r="L213" s="3">
        <f t="shared" si="19"/>
        <v>0.65749999999999997</v>
      </c>
      <c r="M213" t="str">
        <f t="shared" si="20"/>
        <v>C</v>
      </c>
      <c r="N213" t="str">
        <f t="shared" si="21"/>
        <v>PASS</v>
      </c>
      <c r="O213" t="str">
        <f t="shared" si="22"/>
        <v>Needs Improvement</v>
      </c>
    </row>
    <row r="214" spans="1:15">
      <c r="A214">
        <v>213</v>
      </c>
      <c r="B214" t="s">
        <v>229</v>
      </c>
      <c r="C214" t="s">
        <v>19</v>
      </c>
      <c r="D214">
        <v>15</v>
      </c>
      <c r="E214" t="s">
        <v>17</v>
      </c>
      <c r="F214">
        <v>63</v>
      </c>
      <c r="G214">
        <v>92</v>
      </c>
      <c r="H214">
        <v>38</v>
      </c>
      <c r="I214">
        <v>60</v>
      </c>
      <c r="J214">
        <f t="shared" si="18"/>
        <v>253</v>
      </c>
      <c r="K214">
        <f t="shared" si="23"/>
        <v>63.25</v>
      </c>
      <c r="L214" s="3">
        <f t="shared" si="19"/>
        <v>0.63249999999999995</v>
      </c>
      <c r="M214" t="str">
        <f t="shared" si="20"/>
        <v>C</v>
      </c>
      <c r="N214" t="str">
        <f t="shared" si="21"/>
        <v>PASS</v>
      </c>
      <c r="O214" t="str">
        <f t="shared" si="22"/>
        <v>Needs Improvement</v>
      </c>
    </row>
    <row r="215" spans="1:15">
      <c r="A215">
        <v>214</v>
      </c>
      <c r="B215" t="s">
        <v>230</v>
      </c>
      <c r="C215" t="s">
        <v>16</v>
      </c>
      <c r="D215">
        <v>15</v>
      </c>
      <c r="E215" t="s">
        <v>24</v>
      </c>
      <c r="F215">
        <v>87</v>
      </c>
      <c r="G215">
        <v>17</v>
      </c>
      <c r="H215">
        <v>94</v>
      </c>
      <c r="I215">
        <v>41</v>
      </c>
      <c r="J215">
        <f t="shared" si="18"/>
        <v>239</v>
      </c>
      <c r="K215">
        <f t="shared" si="23"/>
        <v>59.75</v>
      </c>
      <c r="L215" s="3">
        <f t="shared" si="19"/>
        <v>0.59750000000000003</v>
      </c>
      <c r="M215" t="str">
        <f t="shared" si="20"/>
        <v>D</v>
      </c>
      <c r="N215" t="str">
        <f t="shared" si="21"/>
        <v>PASS</v>
      </c>
      <c r="O215" t="str">
        <f t="shared" si="22"/>
        <v>Needs Improvement</v>
      </c>
    </row>
    <row r="216" spans="1:15">
      <c r="A216">
        <v>215</v>
      </c>
      <c r="B216" t="s">
        <v>231</v>
      </c>
      <c r="C216" t="s">
        <v>19</v>
      </c>
      <c r="D216">
        <v>13</v>
      </c>
      <c r="E216" t="s">
        <v>17</v>
      </c>
      <c r="F216">
        <v>68</v>
      </c>
      <c r="G216">
        <v>79</v>
      </c>
      <c r="H216">
        <v>71</v>
      </c>
      <c r="I216">
        <v>41</v>
      </c>
      <c r="J216">
        <f t="shared" si="18"/>
        <v>259</v>
      </c>
      <c r="K216">
        <f t="shared" si="23"/>
        <v>64.75</v>
      </c>
      <c r="L216" s="3">
        <f t="shared" si="19"/>
        <v>0.64749999999999996</v>
      </c>
      <c r="M216" t="str">
        <f t="shared" si="20"/>
        <v>C</v>
      </c>
      <c r="N216" t="str">
        <f t="shared" si="21"/>
        <v>PASS</v>
      </c>
      <c r="O216" t="str">
        <f t="shared" si="22"/>
        <v>Needs Improvement</v>
      </c>
    </row>
    <row r="217" spans="1:15">
      <c r="A217">
        <v>216</v>
      </c>
      <c r="B217" t="s">
        <v>232</v>
      </c>
      <c r="C217" t="s">
        <v>19</v>
      </c>
      <c r="D217">
        <v>15</v>
      </c>
      <c r="E217" t="s">
        <v>24</v>
      </c>
      <c r="F217">
        <v>5</v>
      </c>
      <c r="G217">
        <v>86</v>
      </c>
      <c r="H217">
        <v>48</v>
      </c>
      <c r="I217">
        <v>57</v>
      </c>
      <c r="J217">
        <f t="shared" si="18"/>
        <v>196</v>
      </c>
      <c r="K217">
        <f t="shared" si="23"/>
        <v>49</v>
      </c>
      <c r="L217" s="3">
        <f t="shared" si="19"/>
        <v>0.49</v>
      </c>
      <c r="M217" t="str">
        <f t="shared" si="20"/>
        <v>F</v>
      </c>
      <c r="N217" t="str">
        <f t="shared" si="21"/>
        <v>FAIL</v>
      </c>
      <c r="O217" t="str">
        <f t="shared" si="22"/>
        <v>At Risk</v>
      </c>
    </row>
    <row r="218" spans="1:15">
      <c r="A218">
        <v>217</v>
      </c>
      <c r="B218" t="s">
        <v>233</v>
      </c>
      <c r="C218" t="s">
        <v>16</v>
      </c>
      <c r="D218">
        <v>14</v>
      </c>
      <c r="E218" t="s">
        <v>24</v>
      </c>
      <c r="F218">
        <v>71</v>
      </c>
      <c r="G218">
        <v>88</v>
      </c>
      <c r="H218">
        <v>44</v>
      </c>
      <c r="I218">
        <v>13</v>
      </c>
      <c r="J218">
        <f t="shared" si="18"/>
        <v>216</v>
      </c>
      <c r="K218">
        <f t="shared" si="23"/>
        <v>54</v>
      </c>
      <c r="L218" s="3">
        <f t="shared" si="19"/>
        <v>0.54</v>
      </c>
      <c r="M218" t="str">
        <f t="shared" si="20"/>
        <v>D</v>
      </c>
      <c r="N218" t="str">
        <f t="shared" si="21"/>
        <v>PASS</v>
      </c>
      <c r="O218" t="str">
        <f t="shared" si="22"/>
        <v>Needs Improvement</v>
      </c>
    </row>
    <row r="219" spans="1:15">
      <c r="A219">
        <v>218</v>
      </c>
      <c r="B219" t="s">
        <v>234</v>
      </c>
      <c r="C219" t="s">
        <v>19</v>
      </c>
      <c r="D219">
        <v>13</v>
      </c>
      <c r="E219" t="s">
        <v>20</v>
      </c>
      <c r="F219">
        <v>72</v>
      </c>
      <c r="G219">
        <v>46</v>
      </c>
      <c r="H219">
        <v>40</v>
      </c>
      <c r="I219">
        <v>90</v>
      </c>
      <c r="J219">
        <f t="shared" si="18"/>
        <v>248</v>
      </c>
      <c r="K219">
        <f t="shared" si="23"/>
        <v>62</v>
      </c>
      <c r="L219" s="3">
        <f t="shared" si="19"/>
        <v>0.62</v>
      </c>
      <c r="M219" t="str">
        <f t="shared" si="20"/>
        <v>C</v>
      </c>
      <c r="N219" t="str">
        <f t="shared" si="21"/>
        <v>PASS</v>
      </c>
      <c r="O219" t="str">
        <f t="shared" si="22"/>
        <v>Needs Improvement</v>
      </c>
    </row>
    <row r="220" spans="1:15">
      <c r="A220">
        <v>219</v>
      </c>
      <c r="B220" t="s">
        <v>235</v>
      </c>
      <c r="C220" t="s">
        <v>19</v>
      </c>
      <c r="D220">
        <v>14</v>
      </c>
      <c r="E220" t="s">
        <v>17</v>
      </c>
      <c r="F220">
        <v>58</v>
      </c>
      <c r="G220">
        <v>60</v>
      </c>
      <c r="H220">
        <v>7</v>
      </c>
      <c r="I220">
        <v>90</v>
      </c>
      <c r="J220">
        <f t="shared" si="18"/>
        <v>215</v>
      </c>
      <c r="K220">
        <f t="shared" si="23"/>
        <v>53.75</v>
      </c>
      <c r="L220" s="3">
        <f t="shared" si="19"/>
        <v>0.53749999999999998</v>
      </c>
      <c r="M220" t="str">
        <f t="shared" si="20"/>
        <v>D</v>
      </c>
      <c r="N220" t="str">
        <f t="shared" si="21"/>
        <v>PASS</v>
      </c>
      <c r="O220" t="str">
        <f t="shared" si="22"/>
        <v>Needs Improvement</v>
      </c>
    </row>
    <row r="221" spans="1:15">
      <c r="A221">
        <v>220</v>
      </c>
      <c r="B221" t="s">
        <v>236</v>
      </c>
      <c r="C221" t="s">
        <v>19</v>
      </c>
      <c r="D221">
        <v>13</v>
      </c>
      <c r="E221" t="s">
        <v>20</v>
      </c>
      <c r="F221">
        <v>81</v>
      </c>
      <c r="G221">
        <v>63</v>
      </c>
      <c r="H221">
        <v>16</v>
      </c>
      <c r="I221">
        <v>62</v>
      </c>
      <c r="J221">
        <f t="shared" si="18"/>
        <v>222</v>
      </c>
      <c r="K221">
        <f t="shared" si="23"/>
        <v>55.5</v>
      </c>
      <c r="L221" s="3">
        <f t="shared" si="19"/>
        <v>0.55500000000000005</v>
      </c>
      <c r="M221" t="str">
        <f t="shared" si="20"/>
        <v>D</v>
      </c>
      <c r="N221" t="str">
        <f t="shared" si="21"/>
        <v>PASS</v>
      </c>
      <c r="O221" t="str">
        <f t="shared" si="22"/>
        <v>Needs Improvement</v>
      </c>
    </row>
    <row r="222" spans="1:15">
      <c r="A222">
        <v>221</v>
      </c>
      <c r="B222" t="s">
        <v>237</v>
      </c>
      <c r="C222" t="s">
        <v>19</v>
      </c>
      <c r="D222">
        <v>14</v>
      </c>
      <c r="E222" t="s">
        <v>24</v>
      </c>
      <c r="F222">
        <v>6</v>
      </c>
      <c r="G222">
        <v>53</v>
      </c>
      <c r="H222">
        <v>71</v>
      </c>
      <c r="I222">
        <v>21</v>
      </c>
      <c r="J222">
        <f t="shared" si="18"/>
        <v>151</v>
      </c>
      <c r="K222">
        <f t="shared" si="23"/>
        <v>37.75</v>
      </c>
      <c r="L222" s="3">
        <f t="shared" si="19"/>
        <v>0.3775</v>
      </c>
      <c r="M222" t="str">
        <f t="shared" si="20"/>
        <v>F</v>
      </c>
      <c r="N222" t="str">
        <f t="shared" si="21"/>
        <v>FAIL</v>
      </c>
      <c r="O222" t="str">
        <f t="shared" si="22"/>
        <v>At Risk</v>
      </c>
    </row>
    <row r="223" spans="1:15">
      <c r="A223">
        <v>222</v>
      </c>
      <c r="B223" t="s">
        <v>238</v>
      </c>
      <c r="C223" t="s">
        <v>16</v>
      </c>
      <c r="D223">
        <v>13</v>
      </c>
      <c r="E223" t="s">
        <v>24</v>
      </c>
      <c r="F223">
        <v>60</v>
      </c>
      <c r="G223">
        <v>52</v>
      </c>
      <c r="H223">
        <v>85</v>
      </c>
      <c r="I223">
        <v>39</v>
      </c>
      <c r="J223">
        <f t="shared" si="18"/>
        <v>236</v>
      </c>
      <c r="K223">
        <f t="shared" si="23"/>
        <v>59</v>
      </c>
      <c r="L223" s="3">
        <f t="shared" si="19"/>
        <v>0.59</v>
      </c>
      <c r="M223" t="str">
        <f t="shared" si="20"/>
        <v>D</v>
      </c>
      <c r="N223" t="str">
        <f t="shared" si="21"/>
        <v>PASS</v>
      </c>
      <c r="O223" t="str">
        <f t="shared" si="22"/>
        <v>Needs Improvement</v>
      </c>
    </row>
    <row r="224" spans="1:15">
      <c r="A224">
        <v>223</v>
      </c>
      <c r="B224" t="s">
        <v>239</v>
      </c>
      <c r="C224" t="s">
        <v>16</v>
      </c>
      <c r="D224">
        <v>15</v>
      </c>
      <c r="E224" t="s">
        <v>20</v>
      </c>
      <c r="F224">
        <v>92</v>
      </c>
      <c r="G224">
        <v>76</v>
      </c>
      <c r="H224">
        <v>72</v>
      </c>
      <c r="I224">
        <v>71</v>
      </c>
      <c r="J224">
        <f t="shared" si="18"/>
        <v>311</v>
      </c>
      <c r="K224">
        <f t="shared" si="23"/>
        <v>77.75</v>
      </c>
      <c r="L224" s="3">
        <f t="shared" si="19"/>
        <v>0.77749999999999997</v>
      </c>
      <c r="M224" t="str">
        <f t="shared" si="20"/>
        <v>B</v>
      </c>
      <c r="N224" t="str">
        <f t="shared" si="21"/>
        <v>PASS</v>
      </c>
      <c r="O224" t="str">
        <f t="shared" si="22"/>
        <v>GOOD</v>
      </c>
    </row>
    <row r="225" spans="1:15">
      <c r="A225">
        <v>224</v>
      </c>
      <c r="B225" t="s">
        <v>240</v>
      </c>
      <c r="C225" t="s">
        <v>16</v>
      </c>
      <c r="D225">
        <v>13</v>
      </c>
      <c r="E225" t="s">
        <v>24</v>
      </c>
      <c r="F225">
        <v>100</v>
      </c>
      <c r="G225">
        <v>95</v>
      </c>
      <c r="H225">
        <v>36</v>
      </c>
      <c r="I225">
        <v>10</v>
      </c>
      <c r="J225">
        <f t="shared" si="18"/>
        <v>241</v>
      </c>
      <c r="K225">
        <f t="shared" si="23"/>
        <v>60.25</v>
      </c>
      <c r="L225" s="3">
        <f t="shared" si="19"/>
        <v>0.60250000000000004</v>
      </c>
      <c r="M225" t="str">
        <f t="shared" si="20"/>
        <v>C</v>
      </c>
      <c r="N225" t="str">
        <f t="shared" si="21"/>
        <v>PASS</v>
      </c>
      <c r="O225" t="str">
        <f t="shared" si="22"/>
        <v>Needs Improvement</v>
      </c>
    </row>
    <row r="226" spans="1:15">
      <c r="A226">
        <v>225</v>
      </c>
      <c r="B226" t="s">
        <v>241</v>
      </c>
      <c r="C226" t="s">
        <v>16</v>
      </c>
      <c r="D226">
        <v>13</v>
      </c>
      <c r="E226" t="s">
        <v>17</v>
      </c>
      <c r="F226">
        <v>84</v>
      </c>
      <c r="G226">
        <v>10</v>
      </c>
      <c r="H226">
        <v>82</v>
      </c>
      <c r="I226">
        <v>93</v>
      </c>
      <c r="J226">
        <f t="shared" si="18"/>
        <v>269</v>
      </c>
      <c r="K226">
        <f t="shared" si="23"/>
        <v>67.25</v>
      </c>
      <c r="L226" s="3">
        <f t="shared" si="19"/>
        <v>0.67249999999999999</v>
      </c>
      <c r="M226" t="str">
        <f t="shared" si="20"/>
        <v>C</v>
      </c>
      <c r="N226" t="str">
        <f t="shared" si="21"/>
        <v>PASS</v>
      </c>
      <c r="O226" t="str">
        <f t="shared" si="22"/>
        <v>Needs Improvement</v>
      </c>
    </row>
    <row r="227" spans="1:15">
      <c r="A227">
        <v>226</v>
      </c>
      <c r="B227" t="s">
        <v>242</v>
      </c>
      <c r="C227" t="s">
        <v>16</v>
      </c>
      <c r="D227">
        <v>15</v>
      </c>
      <c r="E227" t="s">
        <v>20</v>
      </c>
      <c r="F227">
        <v>16</v>
      </c>
      <c r="G227">
        <v>4</v>
      </c>
      <c r="H227">
        <v>49</v>
      </c>
      <c r="I227">
        <v>1</v>
      </c>
      <c r="J227">
        <f t="shared" si="18"/>
        <v>70</v>
      </c>
      <c r="K227">
        <f t="shared" si="23"/>
        <v>17.5</v>
      </c>
      <c r="L227" s="3">
        <f t="shared" si="19"/>
        <v>0.17499999999999999</v>
      </c>
      <c r="M227" t="str">
        <f t="shared" si="20"/>
        <v>F</v>
      </c>
      <c r="N227" t="str">
        <f t="shared" si="21"/>
        <v>FAIL</v>
      </c>
      <c r="O227" t="str">
        <f t="shared" si="22"/>
        <v>At Risk</v>
      </c>
    </row>
    <row r="228" spans="1:15">
      <c r="A228">
        <v>227</v>
      </c>
      <c r="B228" t="s">
        <v>243</v>
      </c>
      <c r="C228" t="s">
        <v>16</v>
      </c>
      <c r="D228">
        <v>14</v>
      </c>
      <c r="E228" t="s">
        <v>17</v>
      </c>
      <c r="F228">
        <v>22</v>
      </c>
      <c r="G228">
        <v>26</v>
      </c>
      <c r="H228">
        <v>1</v>
      </c>
      <c r="I228">
        <v>28</v>
      </c>
      <c r="J228">
        <f t="shared" si="18"/>
        <v>77</v>
      </c>
      <c r="K228">
        <f t="shared" si="23"/>
        <v>19.25</v>
      </c>
      <c r="L228" s="3">
        <f t="shared" si="19"/>
        <v>0.1925</v>
      </c>
      <c r="M228" t="str">
        <f t="shared" si="20"/>
        <v>F</v>
      </c>
      <c r="N228" t="str">
        <f t="shared" si="21"/>
        <v>FAIL</v>
      </c>
      <c r="O228" t="str">
        <f t="shared" si="22"/>
        <v>At Risk</v>
      </c>
    </row>
    <row r="229" spans="1:15">
      <c r="A229">
        <v>228</v>
      </c>
      <c r="B229" t="s">
        <v>244</v>
      </c>
      <c r="C229" t="s">
        <v>16</v>
      </c>
      <c r="D229">
        <v>14</v>
      </c>
      <c r="E229" t="s">
        <v>20</v>
      </c>
      <c r="F229">
        <v>78</v>
      </c>
      <c r="G229">
        <v>63</v>
      </c>
      <c r="H229">
        <v>62</v>
      </c>
      <c r="I229">
        <v>38</v>
      </c>
      <c r="J229">
        <f t="shared" si="18"/>
        <v>241</v>
      </c>
      <c r="K229">
        <f t="shared" si="23"/>
        <v>60.25</v>
      </c>
      <c r="L229" s="3">
        <f t="shared" si="19"/>
        <v>0.60250000000000004</v>
      </c>
      <c r="M229" t="str">
        <f t="shared" si="20"/>
        <v>C</v>
      </c>
      <c r="N229" t="str">
        <f t="shared" si="21"/>
        <v>PASS</v>
      </c>
      <c r="O229" t="str">
        <f t="shared" si="22"/>
        <v>Needs Improvement</v>
      </c>
    </row>
    <row r="230" spans="1:15">
      <c r="A230">
        <v>229</v>
      </c>
      <c r="B230" t="s">
        <v>245</v>
      </c>
      <c r="C230" t="s">
        <v>16</v>
      </c>
      <c r="D230">
        <v>14</v>
      </c>
      <c r="E230" t="s">
        <v>17</v>
      </c>
      <c r="F230">
        <v>4</v>
      </c>
      <c r="G230">
        <v>15</v>
      </c>
      <c r="H230">
        <v>6</v>
      </c>
      <c r="I230">
        <v>32</v>
      </c>
      <c r="J230">
        <f t="shared" si="18"/>
        <v>57</v>
      </c>
      <c r="K230">
        <f t="shared" si="23"/>
        <v>14.25</v>
      </c>
      <c r="L230" s="3">
        <f t="shared" si="19"/>
        <v>0.14249999999999999</v>
      </c>
      <c r="M230" t="str">
        <f t="shared" si="20"/>
        <v>F</v>
      </c>
      <c r="N230" t="str">
        <f t="shared" si="21"/>
        <v>FAIL</v>
      </c>
      <c r="O230" t="str">
        <f t="shared" si="22"/>
        <v>At Risk</v>
      </c>
    </row>
    <row r="231" spans="1:15">
      <c r="A231">
        <v>230</v>
      </c>
      <c r="B231" t="s">
        <v>246</v>
      </c>
      <c r="C231" t="s">
        <v>19</v>
      </c>
      <c r="D231">
        <v>15</v>
      </c>
      <c r="E231" t="s">
        <v>17</v>
      </c>
      <c r="F231">
        <v>15</v>
      </c>
      <c r="G231">
        <v>26</v>
      </c>
      <c r="H231">
        <v>83</v>
      </c>
      <c r="I231">
        <v>75</v>
      </c>
      <c r="J231">
        <f t="shared" si="18"/>
        <v>199</v>
      </c>
      <c r="K231">
        <f t="shared" si="23"/>
        <v>49.75</v>
      </c>
      <c r="L231" s="3">
        <f t="shared" si="19"/>
        <v>0.4975</v>
      </c>
      <c r="M231" t="str">
        <f t="shared" si="20"/>
        <v>F</v>
      </c>
      <c r="N231" t="str">
        <f t="shared" si="21"/>
        <v>FAIL</v>
      </c>
      <c r="O231" t="str">
        <f t="shared" si="22"/>
        <v>At Risk</v>
      </c>
    </row>
    <row r="232" spans="1:15">
      <c r="A232">
        <v>231</v>
      </c>
      <c r="B232" t="s">
        <v>247</v>
      </c>
      <c r="C232" t="s">
        <v>19</v>
      </c>
      <c r="D232">
        <v>15</v>
      </c>
      <c r="E232" t="s">
        <v>20</v>
      </c>
      <c r="F232">
        <v>50</v>
      </c>
      <c r="G232">
        <v>70</v>
      </c>
      <c r="H232">
        <v>31</v>
      </c>
      <c r="I232">
        <v>98</v>
      </c>
      <c r="J232">
        <f t="shared" si="18"/>
        <v>249</v>
      </c>
      <c r="K232">
        <f t="shared" si="23"/>
        <v>62.25</v>
      </c>
      <c r="L232" s="3">
        <f t="shared" si="19"/>
        <v>0.62250000000000005</v>
      </c>
      <c r="M232" t="str">
        <f t="shared" si="20"/>
        <v>C</v>
      </c>
      <c r="N232" t="str">
        <f t="shared" si="21"/>
        <v>PASS</v>
      </c>
      <c r="O232" t="str">
        <f t="shared" si="22"/>
        <v>Needs Improvement</v>
      </c>
    </row>
    <row r="233" spans="1:15">
      <c r="A233">
        <v>232</v>
      </c>
      <c r="B233" t="s">
        <v>248</v>
      </c>
      <c r="C233" t="s">
        <v>19</v>
      </c>
      <c r="D233">
        <v>13</v>
      </c>
      <c r="E233" t="s">
        <v>24</v>
      </c>
      <c r="F233">
        <v>81</v>
      </c>
      <c r="G233">
        <v>45</v>
      </c>
      <c r="H233">
        <v>22</v>
      </c>
      <c r="I233">
        <v>36</v>
      </c>
      <c r="J233">
        <f t="shared" si="18"/>
        <v>184</v>
      </c>
      <c r="K233">
        <f t="shared" si="23"/>
        <v>46</v>
      </c>
      <c r="L233" s="3">
        <f t="shared" si="19"/>
        <v>0.46</v>
      </c>
      <c r="M233" t="str">
        <f t="shared" si="20"/>
        <v>F</v>
      </c>
      <c r="N233" t="str">
        <f t="shared" si="21"/>
        <v>FAIL</v>
      </c>
      <c r="O233" t="str">
        <f t="shared" si="22"/>
        <v>At Risk</v>
      </c>
    </row>
    <row r="234" spans="1:15">
      <c r="A234">
        <v>233</v>
      </c>
      <c r="B234" t="s">
        <v>249</v>
      </c>
      <c r="C234" t="s">
        <v>19</v>
      </c>
      <c r="D234">
        <v>14</v>
      </c>
      <c r="E234" t="s">
        <v>20</v>
      </c>
      <c r="F234">
        <v>65</v>
      </c>
      <c r="G234">
        <v>32</v>
      </c>
      <c r="H234">
        <v>67</v>
      </c>
      <c r="I234">
        <v>35</v>
      </c>
      <c r="J234">
        <f t="shared" si="18"/>
        <v>199</v>
      </c>
      <c r="K234">
        <f t="shared" si="23"/>
        <v>49.75</v>
      </c>
      <c r="L234" s="3">
        <f t="shared" si="19"/>
        <v>0.4975</v>
      </c>
      <c r="M234" t="str">
        <f t="shared" si="20"/>
        <v>F</v>
      </c>
      <c r="N234" t="str">
        <f t="shared" si="21"/>
        <v>FAIL</v>
      </c>
      <c r="O234" t="str">
        <f t="shared" si="22"/>
        <v>At Risk</v>
      </c>
    </row>
    <row r="235" spans="1:15">
      <c r="A235">
        <v>234</v>
      </c>
      <c r="B235" t="s">
        <v>250</v>
      </c>
      <c r="C235" t="s">
        <v>19</v>
      </c>
      <c r="D235">
        <v>15</v>
      </c>
      <c r="E235" t="s">
        <v>17</v>
      </c>
      <c r="F235">
        <v>91</v>
      </c>
      <c r="G235">
        <v>33</v>
      </c>
      <c r="H235">
        <v>71</v>
      </c>
      <c r="I235">
        <v>81</v>
      </c>
      <c r="J235">
        <f t="shared" si="18"/>
        <v>276</v>
      </c>
      <c r="K235">
        <f t="shared" si="23"/>
        <v>69</v>
      </c>
      <c r="L235" s="3">
        <f t="shared" si="19"/>
        <v>0.69</v>
      </c>
      <c r="M235" t="str">
        <f t="shared" si="20"/>
        <v>C</v>
      </c>
      <c r="N235" t="str">
        <f t="shared" si="21"/>
        <v>PASS</v>
      </c>
      <c r="O235" t="str">
        <f t="shared" si="22"/>
        <v>Needs Improvement</v>
      </c>
    </row>
    <row r="236" spans="1:15">
      <c r="A236">
        <v>235</v>
      </c>
      <c r="B236" t="s">
        <v>251</v>
      </c>
      <c r="C236" t="s">
        <v>19</v>
      </c>
      <c r="D236">
        <v>13</v>
      </c>
      <c r="E236" t="s">
        <v>17</v>
      </c>
      <c r="F236">
        <v>31</v>
      </c>
      <c r="G236">
        <v>9</v>
      </c>
      <c r="H236">
        <v>79</v>
      </c>
      <c r="I236">
        <v>54</v>
      </c>
      <c r="J236">
        <f t="shared" si="18"/>
        <v>173</v>
      </c>
      <c r="K236">
        <f t="shared" si="23"/>
        <v>43.25</v>
      </c>
      <c r="L236" s="3">
        <f t="shared" si="19"/>
        <v>0.4325</v>
      </c>
      <c r="M236" t="str">
        <f t="shared" si="20"/>
        <v>F</v>
      </c>
      <c r="N236" t="str">
        <f t="shared" si="21"/>
        <v>FAIL</v>
      </c>
      <c r="O236" t="str">
        <f t="shared" si="22"/>
        <v>At Risk</v>
      </c>
    </row>
    <row r="237" spans="1:15">
      <c r="A237">
        <v>236</v>
      </c>
      <c r="B237" t="s">
        <v>252</v>
      </c>
      <c r="C237" t="s">
        <v>16</v>
      </c>
      <c r="D237">
        <v>15</v>
      </c>
      <c r="E237" t="s">
        <v>20</v>
      </c>
      <c r="F237">
        <v>98</v>
      </c>
      <c r="G237">
        <v>30</v>
      </c>
      <c r="H237">
        <v>37</v>
      </c>
      <c r="I237">
        <v>56</v>
      </c>
      <c r="J237">
        <f t="shared" si="18"/>
        <v>221</v>
      </c>
      <c r="K237">
        <f t="shared" si="23"/>
        <v>55.25</v>
      </c>
      <c r="L237" s="3">
        <f t="shared" si="19"/>
        <v>0.55249999999999999</v>
      </c>
      <c r="M237" t="str">
        <f t="shared" si="20"/>
        <v>D</v>
      </c>
      <c r="N237" t="str">
        <f t="shared" si="21"/>
        <v>PASS</v>
      </c>
      <c r="O237" t="str">
        <f t="shared" si="22"/>
        <v>Needs Improvement</v>
      </c>
    </row>
    <row r="238" spans="1:15">
      <c r="A238">
        <v>237</v>
      </c>
      <c r="B238" t="s">
        <v>253</v>
      </c>
      <c r="C238" t="s">
        <v>19</v>
      </c>
      <c r="D238">
        <v>15</v>
      </c>
      <c r="E238" t="s">
        <v>17</v>
      </c>
      <c r="F238">
        <v>92</v>
      </c>
      <c r="G238">
        <v>87</v>
      </c>
      <c r="H238">
        <v>38</v>
      </c>
      <c r="I238">
        <v>53</v>
      </c>
      <c r="J238">
        <f t="shared" si="18"/>
        <v>270</v>
      </c>
      <c r="K238">
        <f t="shared" si="23"/>
        <v>67.5</v>
      </c>
      <c r="L238" s="3">
        <f t="shared" si="19"/>
        <v>0.67500000000000004</v>
      </c>
      <c r="M238" t="str">
        <f t="shared" si="20"/>
        <v>C</v>
      </c>
      <c r="N238" t="str">
        <f t="shared" si="21"/>
        <v>PASS</v>
      </c>
      <c r="O238" t="str">
        <f t="shared" si="22"/>
        <v>Needs Improvement</v>
      </c>
    </row>
    <row r="239" spans="1:15">
      <c r="A239">
        <v>238</v>
      </c>
      <c r="B239" t="s">
        <v>254</v>
      </c>
      <c r="C239" t="s">
        <v>16</v>
      </c>
      <c r="D239">
        <v>15</v>
      </c>
      <c r="E239" t="s">
        <v>24</v>
      </c>
      <c r="F239">
        <v>54</v>
      </c>
      <c r="G239">
        <v>34</v>
      </c>
      <c r="H239">
        <v>66</v>
      </c>
      <c r="I239">
        <v>97</v>
      </c>
      <c r="J239">
        <f t="shared" si="18"/>
        <v>251</v>
      </c>
      <c r="K239">
        <f t="shared" si="23"/>
        <v>62.75</v>
      </c>
      <c r="L239" s="3">
        <f t="shared" si="19"/>
        <v>0.62749999999999995</v>
      </c>
      <c r="M239" t="str">
        <f t="shared" si="20"/>
        <v>C</v>
      </c>
      <c r="N239" t="str">
        <f t="shared" si="21"/>
        <v>PASS</v>
      </c>
      <c r="O239" t="str">
        <f t="shared" si="22"/>
        <v>Needs Improvement</v>
      </c>
    </row>
    <row r="240" spans="1:15">
      <c r="A240">
        <v>239</v>
      </c>
      <c r="B240" t="s">
        <v>255</v>
      </c>
      <c r="C240" t="s">
        <v>16</v>
      </c>
      <c r="D240">
        <v>14</v>
      </c>
      <c r="E240" t="s">
        <v>24</v>
      </c>
      <c r="F240">
        <v>49</v>
      </c>
      <c r="G240">
        <v>47</v>
      </c>
      <c r="H240">
        <v>19</v>
      </c>
      <c r="I240">
        <v>55</v>
      </c>
      <c r="J240">
        <f t="shared" si="18"/>
        <v>170</v>
      </c>
      <c r="K240">
        <f t="shared" si="23"/>
        <v>42.5</v>
      </c>
      <c r="L240" s="3">
        <f t="shared" si="19"/>
        <v>0.42499999999999999</v>
      </c>
      <c r="M240" t="str">
        <f t="shared" si="20"/>
        <v>F</v>
      </c>
      <c r="N240" t="str">
        <f t="shared" si="21"/>
        <v>FAIL</v>
      </c>
      <c r="O240" t="str">
        <f t="shared" si="22"/>
        <v>At Risk</v>
      </c>
    </row>
    <row r="241" spans="1:15">
      <c r="A241">
        <v>240</v>
      </c>
      <c r="B241" t="s">
        <v>256</v>
      </c>
      <c r="C241" t="s">
        <v>19</v>
      </c>
      <c r="D241">
        <v>15</v>
      </c>
      <c r="E241" t="s">
        <v>17</v>
      </c>
      <c r="F241">
        <v>2</v>
      </c>
      <c r="G241">
        <v>4</v>
      </c>
      <c r="H241">
        <v>48</v>
      </c>
      <c r="I241">
        <v>46</v>
      </c>
      <c r="J241">
        <f t="shared" si="18"/>
        <v>100</v>
      </c>
      <c r="K241">
        <f t="shared" si="23"/>
        <v>25</v>
      </c>
      <c r="L241" s="3">
        <f t="shared" si="19"/>
        <v>0.25</v>
      </c>
      <c r="M241" t="str">
        <f t="shared" si="20"/>
        <v>F</v>
      </c>
      <c r="N241" t="str">
        <f t="shared" si="21"/>
        <v>FAIL</v>
      </c>
      <c r="O241" t="str">
        <f t="shared" si="22"/>
        <v>At Risk</v>
      </c>
    </row>
    <row r="242" spans="1:15">
      <c r="A242">
        <v>241</v>
      </c>
      <c r="B242" t="s">
        <v>257</v>
      </c>
      <c r="C242" t="s">
        <v>19</v>
      </c>
      <c r="D242">
        <v>14</v>
      </c>
      <c r="E242" t="s">
        <v>17</v>
      </c>
      <c r="F242">
        <v>76</v>
      </c>
      <c r="G242">
        <v>15</v>
      </c>
      <c r="H242">
        <v>70</v>
      </c>
      <c r="I242">
        <v>35</v>
      </c>
      <c r="J242">
        <f t="shared" si="18"/>
        <v>196</v>
      </c>
      <c r="K242">
        <f t="shared" si="23"/>
        <v>49</v>
      </c>
      <c r="L242" s="3">
        <f t="shared" si="19"/>
        <v>0.49</v>
      </c>
      <c r="M242" t="str">
        <f t="shared" si="20"/>
        <v>F</v>
      </c>
      <c r="N242" t="str">
        <f t="shared" si="21"/>
        <v>FAIL</v>
      </c>
      <c r="O242" t="str">
        <f t="shared" si="22"/>
        <v>At Risk</v>
      </c>
    </row>
    <row r="243" spans="1:15">
      <c r="A243">
        <v>242</v>
      </c>
      <c r="B243" t="s">
        <v>258</v>
      </c>
      <c r="C243" t="s">
        <v>19</v>
      </c>
      <c r="D243">
        <v>15</v>
      </c>
      <c r="E243" t="s">
        <v>17</v>
      </c>
      <c r="F243">
        <v>3</v>
      </c>
      <c r="G243">
        <v>49</v>
      </c>
      <c r="H243">
        <v>67</v>
      </c>
      <c r="I243">
        <v>96</v>
      </c>
      <c r="J243">
        <f t="shared" si="18"/>
        <v>215</v>
      </c>
      <c r="K243">
        <f t="shared" si="23"/>
        <v>53.75</v>
      </c>
      <c r="L243" s="3">
        <f t="shared" si="19"/>
        <v>0.53749999999999998</v>
      </c>
      <c r="M243" t="str">
        <f t="shared" si="20"/>
        <v>D</v>
      </c>
      <c r="N243" t="str">
        <f t="shared" si="21"/>
        <v>PASS</v>
      </c>
      <c r="O243" t="str">
        <f t="shared" si="22"/>
        <v>Needs Improvement</v>
      </c>
    </row>
    <row r="244" spans="1:15">
      <c r="A244">
        <v>243</v>
      </c>
      <c r="B244" t="s">
        <v>259</v>
      </c>
      <c r="C244" t="s">
        <v>16</v>
      </c>
      <c r="D244">
        <v>13</v>
      </c>
      <c r="E244" t="s">
        <v>20</v>
      </c>
      <c r="F244">
        <v>17</v>
      </c>
      <c r="G244">
        <v>24</v>
      </c>
      <c r="H244">
        <v>41</v>
      </c>
      <c r="I244">
        <v>21</v>
      </c>
      <c r="J244">
        <f t="shared" si="18"/>
        <v>103</v>
      </c>
      <c r="K244">
        <f t="shared" si="23"/>
        <v>25.75</v>
      </c>
      <c r="L244" s="3">
        <f t="shared" si="19"/>
        <v>0.25750000000000001</v>
      </c>
      <c r="M244" t="str">
        <f t="shared" si="20"/>
        <v>F</v>
      </c>
      <c r="N244" t="str">
        <f t="shared" si="21"/>
        <v>FAIL</v>
      </c>
      <c r="O244" t="str">
        <f t="shared" si="22"/>
        <v>At Risk</v>
      </c>
    </row>
    <row r="245" spans="1:15">
      <c r="A245">
        <v>244</v>
      </c>
      <c r="B245" t="s">
        <v>260</v>
      </c>
      <c r="C245" t="s">
        <v>19</v>
      </c>
      <c r="D245">
        <v>13</v>
      </c>
      <c r="E245" t="s">
        <v>17</v>
      </c>
      <c r="F245">
        <v>95</v>
      </c>
      <c r="G245">
        <v>63</v>
      </c>
      <c r="H245">
        <v>65</v>
      </c>
      <c r="I245">
        <v>71</v>
      </c>
      <c r="J245">
        <f t="shared" si="18"/>
        <v>294</v>
      </c>
      <c r="K245">
        <f t="shared" si="23"/>
        <v>73.5</v>
      </c>
      <c r="L245" s="3">
        <f t="shared" si="19"/>
        <v>0.73499999999999999</v>
      </c>
      <c r="M245" t="str">
        <f t="shared" si="20"/>
        <v>B</v>
      </c>
      <c r="N245" t="str">
        <f t="shared" si="21"/>
        <v>PASS</v>
      </c>
      <c r="O245" t="str">
        <f t="shared" si="22"/>
        <v>GOOD</v>
      </c>
    </row>
    <row r="246" spans="1:15">
      <c r="A246">
        <v>245</v>
      </c>
      <c r="B246" t="s">
        <v>261</v>
      </c>
      <c r="C246" t="s">
        <v>16</v>
      </c>
      <c r="D246">
        <v>15</v>
      </c>
      <c r="E246" t="s">
        <v>17</v>
      </c>
      <c r="F246">
        <v>11</v>
      </c>
      <c r="G246">
        <v>53</v>
      </c>
      <c r="H246">
        <v>15</v>
      </c>
      <c r="I246">
        <v>13</v>
      </c>
      <c r="J246">
        <f t="shared" si="18"/>
        <v>92</v>
      </c>
      <c r="K246">
        <f t="shared" si="23"/>
        <v>23</v>
      </c>
      <c r="L246" s="3">
        <f t="shared" si="19"/>
        <v>0.23</v>
      </c>
      <c r="M246" t="str">
        <f t="shared" si="20"/>
        <v>F</v>
      </c>
      <c r="N246" t="str">
        <f t="shared" si="21"/>
        <v>FAIL</v>
      </c>
      <c r="O246" t="str">
        <f t="shared" si="22"/>
        <v>At Risk</v>
      </c>
    </row>
    <row r="247" spans="1:15">
      <c r="A247">
        <v>246</v>
      </c>
      <c r="B247" t="s">
        <v>262</v>
      </c>
      <c r="C247" t="s">
        <v>19</v>
      </c>
      <c r="D247">
        <v>13</v>
      </c>
      <c r="E247" t="s">
        <v>17</v>
      </c>
      <c r="F247">
        <v>28</v>
      </c>
      <c r="G247">
        <v>15</v>
      </c>
      <c r="H247">
        <v>25</v>
      </c>
      <c r="I247">
        <v>10</v>
      </c>
      <c r="J247">
        <f t="shared" si="18"/>
        <v>78</v>
      </c>
      <c r="K247">
        <f t="shared" si="23"/>
        <v>19.5</v>
      </c>
      <c r="L247" s="3">
        <f t="shared" si="19"/>
        <v>0.19500000000000001</v>
      </c>
      <c r="M247" t="str">
        <f t="shared" si="20"/>
        <v>F</v>
      </c>
      <c r="N247" t="str">
        <f t="shared" si="21"/>
        <v>FAIL</v>
      </c>
      <c r="O247" t="str">
        <f t="shared" si="22"/>
        <v>At Risk</v>
      </c>
    </row>
    <row r="248" spans="1:15">
      <c r="A248">
        <v>247</v>
      </c>
      <c r="B248" t="s">
        <v>263</v>
      </c>
      <c r="C248" t="s">
        <v>16</v>
      </c>
      <c r="D248">
        <v>13</v>
      </c>
      <c r="E248" t="s">
        <v>20</v>
      </c>
      <c r="F248">
        <v>1</v>
      </c>
      <c r="G248">
        <v>4</v>
      </c>
      <c r="H248">
        <v>68</v>
      </c>
      <c r="I248">
        <v>65</v>
      </c>
      <c r="J248">
        <f t="shared" si="18"/>
        <v>138</v>
      </c>
      <c r="K248">
        <f t="shared" si="23"/>
        <v>34.5</v>
      </c>
      <c r="L248" s="3">
        <f t="shared" si="19"/>
        <v>0.34499999999999997</v>
      </c>
      <c r="M248" t="str">
        <f t="shared" si="20"/>
        <v>F</v>
      </c>
      <c r="N248" t="str">
        <f t="shared" si="21"/>
        <v>FAIL</v>
      </c>
      <c r="O248" t="str">
        <f t="shared" si="22"/>
        <v>At Risk</v>
      </c>
    </row>
    <row r="249" spans="1:15">
      <c r="A249">
        <v>248</v>
      </c>
      <c r="B249" t="s">
        <v>264</v>
      </c>
      <c r="C249" t="s">
        <v>19</v>
      </c>
      <c r="D249">
        <v>15</v>
      </c>
      <c r="E249" t="s">
        <v>20</v>
      </c>
      <c r="F249">
        <v>93</v>
      </c>
      <c r="G249">
        <v>48</v>
      </c>
      <c r="H249">
        <v>82</v>
      </c>
      <c r="I249">
        <v>44</v>
      </c>
      <c r="J249">
        <f t="shared" si="18"/>
        <v>267</v>
      </c>
      <c r="K249">
        <f t="shared" si="23"/>
        <v>66.75</v>
      </c>
      <c r="L249" s="3">
        <f t="shared" si="19"/>
        <v>0.66749999999999998</v>
      </c>
      <c r="M249" t="str">
        <f t="shared" si="20"/>
        <v>C</v>
      </c>
      <c r="N249" t="str">
        <f t="shared" si="21"/>
        <v>PASS</v>
      </c>
      <c r="O249" t="str">
        <f t="shared" si="22"/>
        <v>Needs Improvement</v>
      </c>
    </row>
    <row r="250" spans="1:15">
      <c r="A250">
        <v>249</v>
      </c>
      <c r="B250" t="s">
        <v>265</v>
      </c>
      <c r="C250" t="s">
        <v>16</v>
      </c>
      <c r="D250">
        <v>14</v>
      </c>
      <c r="E250" t="s">
        <v>20</v>
      </c>
      <c r="F250">
        <v>35</v>
      </c>
      <c r="G250">
        <v>73</v>
      </c>
      <c r="H250">
        <v>66</v>
      </c>
      <c r="I250">
        <v>59</v>
      </c>
      <c r="J250">
        <f t="shared" si="18"/>
        <v>233</v>
      </c>
      <c r="K250">
        <f t="shared" si="23"/>
        <v>58.25</v>
      </c>
      <c r="L250" s="3">
        <f t="shared" si="19"/>
        <v>0.58250000000000002</v>
      </c>
      <c r="M250" t="str">
        <f t="shared" si="20"/>
        <v>D</v>
      </c>
      <c r="N250" t="str">
        <f t="shared" si="21"/>
        <v>PASS</v>
      </c>
      <c r="O250" t="str">
        <f t="shared" si="22"/>
        <v>Needs Improvement</v>
      </c>
    </row>
    <row r="251" spans="1:15">
      <c r="A251">
        <v>250</v>
      </c>
      <c r="B251" t="s">
        <v>266</v>
      </c>
      <c r="C251" t="s">
        <v>19</v>
      </c>
      <c r="D251">
        <v>15</v>
      </c>
      <c r="E251" t="s">
        <v>20</v>
      </c>
      <c r="F251">
        <v>50</v>
      </c>
      <c r="G251">
        <v>8</v>
      </c>
      <c r="H251">
        <v>80</v>
      </c>
      <c r="I251">
        <v>78</v>
      </c>
      <c r="J251">
        <f t="shared" si="18"/>
        <v>216</v>
      </c>
      <c r="K251">
        <f t="shared" si="23"/>
        <v>54</v>
      </c>
      <c r="L251" s="3">
        <f t="shared" si="19"/>
        <v>0.54</v>
      </c>
      <c r="M251" t="str">
        <f t="shared" si="20"/>
        <v>D</v>
      </c>
      <c r="N251" t="str">
        <f t="shared" si="21"/>
        <v>PASS</v>
      </c>
      <c r="O251" t="str">
        <f t="shared" si="22"/>
        <v>Needs Improvement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6104-7753-4680-AFB5-D80E66FE515F}">
  <dimension ref="A1:S260"/>
  <sheetViews>
    <sheetView topLeftCell="A10" workbookViewId="0">
      <selection activeCell="X37" sqref="X37"/>
    </sheetView>
  </sheetViews>
  <sheetFormatPr defaultRowHeight="15"/>
  <cols>
    <col min="1" max="1" width="17.7109375" customWidth="1"/>
    <col min="2" max="2" width="22.140625" customWidth="1"/>
    <col min="4" max="4" width="16.7109375" customWidth="1"/>
    <col min="5" max="5" width="18.5703125" customWidth="1"/>
    <col min="6" max="6" width="21" customWidth="1"/>
    <col min="8" max="8" width="18.7109375" customWidth="1"/>
    <col min="9" max="9" width="15.85546875" customWidth="1"/>
    <col min="11" max="11" width="13.7109375" customWidth="1"/>
  </cols>
  <sheetData>
    <row r="1" spans="1:19">
      <c r="A1" s="6" t="s">
        <v>267</v>
      </c>
      <c r="B1" s="6"/>
      <c r="D1" s="6" t="s">
        <v>268</v>
      </c>
      <c r="E1" s="6"/>
      <c r="H1" s="6" t="s">
        <v>269</v>
      </c>
      <c r="I1" s="6"/>
    </row>
    <row r="2" spans="1:19">
      <c r="A2" t="s">
        <v>270</v>
      </c>
      <c r="B2">
        <f>COUNTA(Student_Data!A2:A251)</f>
        <v>250</v>
      </c>
      <c r="D2" s="4" t="s">
        <v>271</v>
      </c>
      <c r="E2" s="4" t="s">
        <v>272</v>
      </c>
      <c r="H2" s="4" t="s">
        <v>273</v>
      </c>
      <c r="I2" s="4" t="s">
        <v>274</v>
      </c>
    </row>
    <row r="3" spans="1:19">
      <c r="A3" t="s">
        <v>275</v>
      </c>
      <c r="B3" s="3">
        <f>AVERAGE(Student_Data!L2:L251)</f>
        <v>0.51176999999999995</v>
      </c>
      <c r="D3" t="s">
        <v>5</v>
      </c>
      <c r="E3">
        <f>AVERAGE(Student_Data!F2:F251)</f>
        <v>51.44</v>
      </c>
      <c r="H3" t="s">
        <v>276</v>
      </c>
      <c r="I3">
        <f>COUNTIF(Student_Data!M2:M251,"A+")</f>
        <v>1</v>
      </c>
    </row>
    <row r="4" spans="1:19">
      <c r="A4" t="s">
        <v>277</v>
      </c>
      <c r="B4" s="5">
        <f>COUNTIF(Student_Data!N2:N251,"Pass")/COUNTA(Student_Data!N2:N251)</f>
        <v>0.52</v>
      </c>
      <c r="D4" t="s">
        <v>6</v>
      </c>
      <c r="E4">
        <f>AVERAGE(Student_Data!G2:G251)</f>
        <v>47.98</v>
      </c>
      <c r="H4" t="s">
        <v>24</v>
      </c>
      <c r="I4">
        <f>COUNTIF(Student_Data!M2:M251,"A")</f>
        <v>6</v>
      </c>
    </row>
    <row r="5" spans="1:19">
      <c r="A5" t="s">
        <v>278</v>
      </c>
      <c r="B5" s="3">
        <f>MAX(Student_Data!L2:L251)</f>
        <v>0.90249999999999997</v>
      </c>
      <c r="D5" t="s">
        <v>7</v>
      </c>
      <c r="E5">
        <f>AVERAGE(Student_Data!G2:G251)</f>
        <v>47.98</v>
      </c>
      <c r="H5" t="s">
        <v>20</v>
      </c>
      <c r="I5">
        <f>COUNTIF(Student_Data!M2:M251,"B")</f>
        <v>17</v>
      </c>
    </row>
    <row r="6" spans="1:19">
      <c r="A6" t="s">
        <v>279</v>
      </c>
      <c r="B6" s="3">
        <f>MIN(Student_Data!L2:L251)</f>
        <v>0.14249999999999999</v>
      </c>
      <c r="D6" t="s">
        <v>8</v>
      </c>
      <c r="E6">
        <f>AVERAGE(Student_Data!H2:H251)</f>
        <v>52.271999999999998</v>
      </c>
      <c r="H6" t="s">
        <v>17</v>
      </c>
      <c r="I6">
        <f>COUNTIF(Student_Data!M2:M251,"C")</f>
        <v>49</v>
      </c>
    </row>
    <row r="7" spans="1:19">
      <c r="A7" t="s">
        <v>280</v>
      </c>
      <c r="B7">
        <f>COUNTIF(Student_Data!O2:O251,"Excellent")</f>
        <v>4</v>
      </c>
      <c r="H7" t="s">
        <v>281</v>
      </c>
      <c r="I7">
        <f>COUNTIF(Student_Data!M2:M251,"D")</f>
        <v>57</v>
      </c>
    </row>
    <row r="8" spans="1:19">
      <c r="A8" t="s">
        <v>282</v>
      </c>
      <c r="B8">
        <f>COUNTIF(Student_Data!O2:O251,"At Risk")</f>
        <v>120</v>
      </c>
      <c r="H8" t="s">
        <v>283</v>
      </c>
      <c r="I8">
        <f>COUNTIF(Student_Data!M2:M251,"F")</f>
        <v>120</v>
      </c>
    </row>
    <row r="10" spans="1:19">
      <c r="D10" s="4" t="s">
        <v>4</v>
      </c>
      <c r="E10" s="4" t="s">
        <v>284</v>
      </c>
      <c r="F10" s="4" t="s">
        <v>275</v>
      </c>
      <c r="H10" s="4" t="s">
        <v>285</v>
      </c>
      <c r="I10" s="4" t="s">
        <v>286</v>
      </c>
      <c r="J10" s="4" t="s">
        <v>4</v>
      </c>
      <c r="K10" s="4" t="s">
        <v>11</v>
      </c>
    </row>
    <row r="11" spans="1:19">
      <c r="D11" t="s">
        <v>24</v>
      </c>
      <c r="E11">
        <f>COUNTIF(Student_Data!E2:E251,"A")</f>
        <v>79</v>
      </c>
      <c r="F11" s="5">
        <f>AVERAGEIF(Student_Data!E2:E251,"A",Student_Data!L2:L251)</f>
        <v>0.52063291139240486</v>
      </c>
      <c r="H11">
        <v>1</v>
      </c>
      <c r="I11" t="str" cm="1">
        <f t="array" ref="I11">INDEX(_xlfn.ANCHORARRAY($M$11),H11,1)</f>
        <v>Dunn</v>
      </c>
      <c r="J11" t="str" cm="1">
        <f t="array" ref="J11">INDEX(_xlfn.ANCHORARRAY($M$11),H11,2)</f>
        <v>C</v>
      </c>
      <c r="K11" s="5" cm="1">
        <f t="array" ref="K11">INDEX(_xlfn.ANCHORARRAY($M$11),H11,3)</f>
        <v>0.90249999999999997</v>
      </c>
      <c r="M11" t="str" cm="1">
        <f t="array" ref="M11:O260">_xlfn.SORTBY(CHOOSE({1,2,3},Student_Data!B2:B251,Student_Data!E2:E251,Student_Data!L2:L251),Student_Data!L2:L251,-1)</f>
        <v>Dunn</v>
      </c>
      <c r="N11" t="str">
        <v>C</v>
      </c>
      <c r="O11">
        <v>0.90249999999999997</v>
      </c>
      <c r="Q11" t="str" cm="1">
        <f t="array" ref="Q11:S260">_xlfn.SORTBY(CHOOSE({1,2,3},Student_Data!B2:B251,Student_Data!E2:E251,Student_Data!L2:L251),Student_Data!L2:L251,1)</f>
        <v>Ginnifer</v>
      </c>
      <c r="R11" t="str">
        <v>C</v>
      </c>
      <c r="S11">
        <v>0.14249999999999999</v>
      </c>
    </row>
    <row r="12" spans="1:19">
      <c r="D12" t="s">
        <v>20</v>
      </c>
      <c r="E12">
        <f>COUNTIF(Student_Data!E2:E251,"B")</f>
        <v>79</v>
      </c>
      <c r="F12" s="5">
        <f>AVERAGEIF(Student_Data!E2:E251,"A",Student_Data!L2:L251)</f>
        <v>0.52063291139240486</v>
      </c>
      <c r="H12">
        <v>2</v>
      </c>
      <c r="I12" t="str" cm="1">
        <f t="array" ref="I12">INDEX(_xlfn.ANCHORARRAY($M$11),H12,1)</f>
        <v>Patrizia</v>
      </c>
      <c r="J12" t="str" cm="1">
        <f t="array" ref="J12">INDEX(_xlfn.ANCHORARRAY($M$11),H12,2)</f>
        <v>A</v>
      </c>
      <c r="K12" s="5" cm="1">
        <f t="array" ref="K12">INDEX(_xlfn.ANCHORARRAY($M$11),H12,3)</f>
        <v>0.89</v>
      </c>
      <c r="M12" t="str">
        <v>Patrizia</v>
      </c>
      <c r="N12" t="str">
        <v>A</v>
      </c>
      <c r="O12">
        <v>0.89</v>
      </c>
      <c r="Q12" t="str">
        <v>Ashlan</v>
      </c>
      <c r="R12" t="str">
        <v>B</v>
      </c>
      <c r="S12">
        <v>0.16750000000000001</v>
      </c>
    </row>
    <row r="13" spans="1:19">
      <c r="D13" t="s">
        <v>17</v>
      </c>
      <c r="E13">
        <f>COUNTIF(Student_Data!E2:E251,"C")</f>
        <v>92</v>
      </c>
      <c r="F13" s="5">
        <f>AVERAGEIF(Student_Data!E2:E251,"B",Student_Data!L2:L251)</f>
        <v>0.5249050632911394</v>
      </c>
      <c r="H13">
        <v>3</v>
      </c>
      <c r="I13" t="str" cm="1">
        <f t="array" ref="I13">INDEX(_xlfn.ANCHORARRAY($M$11),H13,1)</f>
        <v>Nil</v>
      </c>
      <c r="J13" t="str" cm="1">
        <f t="array" ref="J13">INDEX(_xlfn.ANCHORARRAY($M$11),H13,2)</f>
        <v>A</v>
      </c>
      <c r="K13" s="5" cm="1">
        <f t="array" ref="K13">INDEX(_xlfn.ANCHORARRAY($M$11),H13,3)</f>
        <v>0.86750000000000005</v>
      </c>
      <c r="M13" t="str">
        <v>Nil</v>
      </c>
      <c r="N13" t="str">
        <v>A</v>
      </c>
      <c r="O13">
        <v>0.86750000000000005</v>
      </c>
      <c r="Q13" t="str">
        <v>Blake</v>
      </c>
      <c r="R13" t="str">
        <v>B</v>
      </c>
      <c r="S13">
        <v>0.17499999999999999</v>
      </c>
    </row>
    <row r="14" spans="1:19">
      <c r="H14">
        <v>4</v>
      </c>
      <c r="I14" t="str" cm="1">
        <f t="array" ref="I14">INDEX(_xlfn.ANCHORARRAY($M$11),H14,1)</f>
        <v>Daffi</v>
      </c>
      <c r="J14" t="str" cm="1">
        <f t="array" ref="J14">INDEX(_xlfn.ANCHORARRAY($M$11),H14,2)</f>
        <v>A</v>
      </c>
      <c r="K14" s="5" cm="1">
        <f t="array" ref="K14">INDEX(_xlfn.ANCHORARRAY($M$11),H14,3)</f>
        <v>0.85250000000000004</v>
      </c>
      <c r="M14" t="str">
        <v>Daffi</v>
      </c>
      <c r="N14" t="str">
        <v>A</v>
      </c>
      <c r="O14">
        <v>0.85250000000000004</v>
      </c>
      <c r="Q14" t="str">
        <v>Jocelin</v>
      </c>
      <c r="R14" t="str">
        <v>A</v>
      </c>
      <c r="S14">
        <v>0.1825</v>
      </c>
    </row>
    <row r="15" spans="1:19">
      <c r="H15">
        <v>5</v>
      </c>
      <c r="I15" t="str" cm="1">
        <f t="array" ref="I15">INDEX(_xlfn.ANCHORARRAY($M$11),H15,1)</f>
        <v>Ruddie</v>
      </c>
      <c r="J15" t="str" cm="1">
        <f t="array" ref="J15">INDEX(_xlfn.ANCHORARRAY($M$11),H15,2)</f>
        <v>B</v>
      </c>
      <c r="K15" s="5" cm="1">
        <f t="array" ref="K15">INDEX(_xlfn.ANCHORARRAY($M$11),H15,3)</f>
        <v>0.83250000000000002</v>
      </c>
      <c r="M15" t="str">
        <v>Ruddie</v>
      </c>
      <c r="N15" t="str">
        <v>B</v>
      </c>
      <c r="O15">
        <v>0.83250000000000002</v>
      </c>
      <c r="Q15" t="str">
        <v>Berget</v>
      </c>
      <c r="R15" t="str">
        <v>C</v>
      </c>
      <c r="S15">
        <v>0.1825</v>
      </c>
    </row>
    <row r="16" spans="1:19">
      <c r="D16" s="4" t="s">
        <v>2</v>
      </c>
      <c r="E16" s="4" t="s">
        <v>284</v>
      </c>
      <c r="F16" s="4" t="s">
        <v>275</v>
      </c>
      <c r="H16">
        <v>6</v>
      </c>
      <c r="I16" t="str" cm="1">
        <f t="array" ref="I16">INDEX(_xlfn.ANCHORARRAY($M$11),H16,1)</f>
        <v>Herold</v>
      </c>
      <c r="J16" t="str" cm="1">
        <f t="array" ref="J16">INDEX(_xlfn.ANCHORARRAY($M$11),H16,2)</f>
        <v>A</v>
      </c>
      <c r="K16" s="5" cm="1">
        <f t="array" ref="K16">INDEX(_xlfn.ANCHORARRAY($M$11),H16,3)</f>
        <v>0.8</v>
      </c>
      <c r="M16" t="str">
        <v>Herold</v>
      </c>
      <c r="N16" t="str">
        <v>A</v>
      </c>
      <c r="O16">
        <v>0.8</v>
      </c>
      <c r="Q16" t="str">
        <v>Josepha</v>
      </c>
      <c r="R16" t="str">
        <v>C</v>
      </c>
      <c r="S16">
        <v>0.1925</v>
      </c>
    </row>
    <row r="17" spans="4:19">
      <c r="D17" t="s">
        <v>16</v>
      </c>
      <c r="E17">
        <f>COUNTIF(Student_Data!C2:C251, "Female")</f>
        <v>118</v>
      </c>
      <c r="F17" s="5">
        <f>AVERAGEIF(Student_Data!C2:C251,"Female",Student_Data!L2:L251)</f>
        <v>0.50654661016949121</v>
      </c>
      <c r="H17">
        <v>7</v>
      </c>
      <c r="I17" t="str" cm="1">
        <f t="array" ref="I17">INDEX(_xlfn.ANCHORARRAY($M$11),H17,1)</f>
        <v>Val</v>
      </c>
      <c r="J17" t="str" cm="1">
        <f t="array" ref="J17">INDEX(_xlfn.ANCHORARRAY($M$11),H17,2)</f>
        <v>B</v>
      </c>
      <c r="K17" s="5" cm="1">
        <f t="array" ref="K17">INDEX(_xlfn.ANCHORARRAY($M$11),H17,3)</f>
        <v>0.8</v>
      </c>
      <c r="M17" t="str">
        <v>Val</v>
      </c>
      <c r="N17" t="str">
        <v>B</v>
      </c>
      <c r="O17">
        <v>0.8</v>
      </c>
      <c r="Q17" t="str">
        <v>Nickie</v>
      </c>
      <c r="R17" t="str">
        <v>C</v>
      </c>
      <c r="S17">
        <v>0.19500000000000001</v>
      </c>
    </row>
    <row r="18" spans="4:19">
      <c r="D18" t="s">
        <v>19</v>
      </c>
      <c r="E18">
        <f>COUNTIF(Student_Data!C2:C251, "Male")</f>
        <v>132</v>
      </c>
      <c r="F18" s="5">
        <f>AVERAGEIF(Student_Data!C2:C251,"Male",Student_Data!L2:L251)</f>
        <v>0.51643939393939375</v>
      </c>
      <c r="H18">
        <v>8</v>
      </c>
      <c r="I18" t="str" cm="1">
        <f t="array" ref="I18">INDEX(_xlfn.ANCHORARRAY($M$11),H18,1)</f>
        <v>Luelle</v>
      </c>
      <c r="J18" t="str" cm="1">
        <f t="array" ref="J18">INDEX(_xlfn.ANCHORARRAY($M$11),H18,2)</f>
        <v>B</v>
      </c>
      <c r="K18" s="5" cm="1">
        <f t="array" ref="K18">INDEX(_xlfn.ANCHORARRAY($M$11),H18,3)</f>
        <v>0.79249999999999998</v>
      </c>
      <c r="M18" t="str">
        <v>Luelle</v>
      </c>
      <c r="N18" t="str">
        <v>B</v>
      </c>
      <c r="O18">
        <v>0.79249999999999998</v>
      </c>
      <c r="Q18" t="str">
        <v>Alasteir</v>
      </c>
      <c r="R18" t="str">
        <v>A</v>
      </c>
      <c r="S18">
        <v>0.2225</v>
      </c>
    </row>
    <row r="19" spans="4:19">
      <c r="H19">
        <v>9</v>
      </c>
      <c r="I19" t="str" cm="1">
        <f t="array" ref="I19">INDEX(_xlfn.ANCHORARRAY($M$11),H19,1)</f>
        <v>Leda</v>
      </c>
      <c r="J19" t="str" cm="1">
        <f t="array" ref="J19">INDEX(_xlfn.ANCHORARRAY($M$11),H19,2)</f>
        <v>B</v>
      </c>
      <c r="K19" s="5" cm="1">
        <f t="array" ref="K19">INDEX(_xlfn.ANCHORARRAY($M$11),H19,3)</f>
        <v>0.77749999999999997</v>
      </c>
      <c r="M19" t="str">
        <v>Leda</v>
      </c>
      <c r="N19" t="str">
        <v>B</v>
      </c>
      <c r="O19">
        <v>0.77749999999999997</v>
      </c>
      <c r="Q19" t="str">
        <v>Jesselyn</v>
      </c>
      <c r="R19" t="str">
        <v>C</v>
      </c>
      <c r="S19">
        <v>0.23</v>
      </c>
    </row>
    <row r="20" spans="4:19">
      <c r="H20">
        <v>10</v>
      </c>
      <c r="I20" t="str" cm="1">
        <f t="array" ref="I20">INDEX(_xlfn.ANCHORARRAY($M$11),H20,1)</f>
        <v>Malissa</v>
      </c>
      <c r="J20" t="str" cm="1">
        <f t="array" ref="J20">INDEX(_xlfn.ANCHORARRAY($M$11),H20,2)</f>
        <v>C</v>
      </c>
      <c r="K20" s="5" cm="1">
        <f t="array" ref="K20">INDEX(_xlfn.ANCHORARRAY($M$11),H20,3)</f>
        <v>0.77500000000000002</v>
      </c>
      <c r="M20" t="str">
        <v>Malissa</v>
      </c>
      <c r="N20" t="str">
        <v>C</v>
      </c>
      <c r="O20">
        <v>0.77500000000000002</v>
      </c>
      <c r="Q20" t="str">
        <v>Raimund</v>
      </c>
      <c r="R20" t="str">
        <v>C</v>
      </c>
      <c r="S20">
        <v>0.25</v>
      </c>
    </row>
    <row r="21" spans="4:19">
      <c r="M21" t="str">
        <v>Charmine</v>
      </c>
      <c r="N21" t="str">
        <v>A</v>
      </c>
      <c r="O21">
        <v>0.77249999999999996</v>
      </c>
      <c r="Q21" t="str">
        <v>Morrie</v>
      </c>
      <c r="R21" t="str">
        <v>B</v>
      </c>
      <c r="S21">
        <v>0.25750000000000001</v>
      </c>
    </row>
    <row r="22" spans="4:19">
      <c r="H22" s="4" t="s">
        <v>285</v>
      </c>
      <c r="I22" s="4" t="s">
        <v>286</v>
      </c>
      <c r="J22" s="4" t="s">
        <v>4</v>
      </c>
      <c r="K22" s="4" t="s">
        <v>11</v>
      </c>
      <c r="M22" t="str">
        <v>Valma</v>
      </c>
      <c r="N22" t="str">
        <v>C</v>
      </c>
      <c r="O22">
        <v>0.76249999999999996</v>
      </c>
      <c r="Q22" t="str">
        <v>Dory</v>
      </c>
      <c r="R22" t="str">
        <v>B</v>
      </c>
      <c r="S22">
        <v>0.27250000000000002</v>
      </c>
    </row>
    <row r="23" spans="4:19">
      <c r="H23">
        <v>1</v>
      </c>
      <c r="I23" t="str" cm="1">
        <f t="array" ref="I23">INDEX(_xlfn.ANCHORARRAY($Q$11),H23,1)</f>
        <v>Ginnifer</v>
      </c>
      <c r="J23" t="str" cm="1">
        <f t="array" ref="J23">INDEX(_xlfn.ANCHORARRAY($Q$11),H23,2)</f>
        <v>C</v>
      </c>
      <c r="K23" s="5" cm="1">
        <f t="array" ref="K23">INDEX(_xlfn.ANCHORARRAY($Q$11),H23,3)</f>
        <v>0.14249999999999999</v>
      </c>
      <c r="M23" t="str">
        <v>Davidde</v>
      </c>
      <c r="N23" t="str">
        <v>C</v>
      </c>
      <c r="O23">
        <v>0.76249999999999996</v>
      </c>
      <c r="Q23" t="str">
        <v>Willem</v>
      </c>
      <c r="R23" t="str">
        <v>C</v>
      </c>
      <c r="S23">
        <v>0.27250000000000002</v>
      </c>
    </row>
    <row r="24" spans="4:19">
      <c r="H24">
        <v>2</v>
      </c>
      <c r="I24" t="str" cm="1">
        <f t="array" ref="I24">INDEX(_xlfn.ANCHORARRAY($Q$11),H24,1)</f>
        <v>Ashlan</v>
      </c>
      <c r="J24" t="str" cm="1">
        <f t="array" ref="J24">INDEX(_xlfn.ANCHORARRAY($Q$11),H24,2)</f>
        <v>B</v>
      </c>
      <c r="K24" s="5" cm="1">
        <f t="array" ref="K24">INDEX(_xlfn.ANCHORARRAY($Q$11),H24,3)</f>
        <v>0.16750000000000001</v>
      </c>
      <c r="M24" t="str">
        <v>Inger</v>
      </c>
      <c r="N24" t="str">
        <v>B</v>
      </c>
      <c r="O24">
        <v>0.76</v>
      </c>
      <c r="Q24" t="str">
        <v>Massimiliano</v>
      </c>
      <c r="R24" t="str">
        <v>A</v>
      </c>
      <c r="S24">
        <v>0.27500000000000002</v>
      </c>
    </row>
    <row r="25" spans="4:19">
      <c r="H25">
        <v>3</v>
      </c>
      <c r="I25" t="str" cm="1">
        <f t="array" ref="I25">INDEX(_xlfn.ANCHORARRAY($Q$11),H25,1)</f>
        <v>Blake</v>
      </c>
      <c r="J25" t="str" cm="1">
        <f t="array" ref="J25">INDEX(_xlfn.ANCHORARRAY($Q$11),H25,2)</f>
        <v>B</v>
      </c>
      <c r="K25" s="5" cm="1">
        <f t="array" ref="K25">INDEX(_xlfn.ANCHORARRAY($Q$11),H25,3)</f>
        <v>0.17499999999999999</v>
      </c>
      <c r="M25" t="str">
        <v>Humfrid</v>
      </c>
      <c r="N25" t="str">
        <v>B</v>
      </c>
      <c r="O25">
        <v>0.75</v>
      </c>
      <c r="Q25" t="str">
        <v>Linn</v>
      </c>
      <c r="R25" t="str">
        <v>C</v>
      </c>
      <c r="S25">
        <v>0.27500000000000002</v>
      </c>
    </row>
    <row r="26" spans="4:19">
      <c r="H26">
        <v>4</v>
      </c>
      <c r="I26" t="str" cm="1">
        <f t="array" ref="I26">INDEX(_xlfn.ANCHORARRAY($Q$11),H26,1)</f>
        <v>Jocelin</v>
      </c>
      <c r="J26" t="str" cm="1">
        <f t="array" ref="J26">INDEX(_xlfn.ANCHORARRAY($Q$11),H26,2)</f>
        <v>A</v>
      </c>
      <c r="K26" s="5" cm="1">
        <f t="array" ref="K26">INDEX(_xlfn.ANCHORARRAY($Q$11),H26,3)</f>
        <v>0.1825</v>
      </c>
      <c r="M26" t="str">
        <v>Zenia</v>
      </c>
      <c r="N26" t="str">
        <v>C</v>
      </c>
      <c r="O26">
        <v>0.73499999999999999</v>
      </c>
      <c r="Q26" t="str">
        <v>Starlin</v>
      </c>
      <c r="R26" t="str">
        <v>C</v>
      </c>
      <c r="S26">
        <v>0.28249999999999997</v>
      </c>
    </row>
    <row r="27" spans="4:19">
      <c r="H27">
        <v>5</v>
      </c>
      <c r="I27" t="str" cm="1">
        <f t="array" ref="I27">INDEX(_xlfn.ANCHORARRAY($Q$11),H27,1)</f>
        <v>Berget</v>
      </c>
      <c r="J27" t="str" cm="1">
        <f t="array" ref="J27">INDEX(_xlfn.ANCHORARRAY($Q$11),H27,2)</f>
        <v>C</v>
      </c>
      <c r="K27" s="5" cm="1">
        <f t="array" ref="K27">INDEX(_xlfn.ANCHORARRAY($Q$11),H27,3)</f>
        <v>0.1825</v>
      </c>
      <c r="M27" t="str">
        <v>Domingo</v>
      </c>
      <c r="N27" t="str">
        <v>C</v>
      </c>
      <c r="O27">
        <v>0.73499999999999999</v>
      </c>
      <c r="Q27" t="str">
        <v>Isidora</v>
      </c>
      <c r="R27" t="str">
        <v>C</v>
      </c>
      <c r="S27">
        <v>0.3</v>
      </c>
    </row>
    <row r="28" spans="4:19">
      <c r="H28">
        <v>6</v>
      </c>
      <c r="I28" t="str" cm="1">
        <f t="array" ref="I28">INDEX(_xlfn.ANCHORARRAY($Q$11),H28,1)</f>
        <v>Josepha</v>
      </c>
      <c r="J28" t="str" cm="1">
        <f t="array" ref="J28">INDEX(_xlfn.ANCHORARRAY($Q$11),H28,2)</f>
        <v>C</v>
      </c>
      <c r="K28" s="5" cm="1">
        <f t="array" ref="K28">INDEX(_xlfn.ANCHORARRAY($Q$11),H28,3)</f>
        <v>0.1925</v>
      </c>
      <c r="M28" t="str">
        <v>Jaquenette</v>
      </c>
      <c r="N28" t="str">
        <v>C</v>
      </c>
      <c r="O28">
        <v>0.72499999999999998</v>
      </c>
      <c r="Q28" t="str">
        <v>Christoph</v>
      </c>
      <c r="R28" t="str">
        <v>C</v>
      </c>
      <c r="S28">
        <v>0.30249999999999999</v>
      </c>
    </row>
    <row r="29" spans="4:19">
      <c r="H29">
        <v>7</v>
      </c>
      <c r="I29" t="str" cm="1">
        <f t="array" ref="I29">INDEX(_xlfn.ANCHORARRAY($Q$11),H29,1)</f>
        <v>Nickie</v>
      </c>
      <c r="J29" t="str" cm="1">
        <f t="array" ref="J29">INDEX(_xlfn.ANCHORARRAY($Q$11),H29,2)</f>
        <v>C</v>
      </c>
      <c r="K29" s="5" cm="1">
        <f t="array" ref="K29">INDEX(_xlfn.ANCHORARRAY($Q$11),H29,3)</f>
        <v>0.19500000000000001</v>
      </c>
      <c r="M29" t="str">
        <v>Rosalyn</v>
      </c>
      <c r="N29" t="str">
        <v>C</v>
      </c>
      <c r="O29">
        <v>0.72499999999999998</v>
      </c>
      <c r="Q29" t="str">
        <v>Ezekiel</v>
      </c>
      <c r="R29" t="str">
        <v>A</v>
      </c>
      <c r="S29">
        <v>0.30249999999999999</v>
      </c>
    </row>
    <row r="30" spans="4:19">
      <c r="H30">
        <v>8</v>
      </c>
      <c r="I30" t="str" cm="1">
        <f t="array" ref="I30">INDEX(_xlfn.ANCHORARRAY($Q$11),H30,1)</f>
        <v>Alasteir</v>
      </c>
      <c r="J30" t="str" cm="1">
        <f t="array" ref="J30">INDEX(_xlfn.ANCHORARRAY($Q$11),H30,2)</f>
        <v>A</v>
      </c>
      <c r="K30" s="5" cm="1">
        <f t="array" ref="K30">INDEX(_xlfn.ANCHORARRAY($Q$11),H30,3)</f>
        <v>0.2225</v>
      </c>
      <c r="M30" t="str">
        <v>Patty</v>
      </c>
      <c r="N30" t="str">
        <v>B</v>
      </c>
      <c r="O30">
        <v>0.72</v>
      </c>
      <c r="Q30" t="str">
        <v>Abel</v>
      </c>
      <c r="R30" t="str">
        <v>A</v>
      </c>
      <c r="S30">
        <v>0.3075</v>
      </c>
    </row>
    <row r="31" spans="4:19">
      <c r="H31">
        <v>9</v>
      </c>
      <c r="I31" t="str" cm="1">
        <f t="array" ref="I31">INDEX(_xlfn.ANCHORARRAY($Q$11),H31,1)</f>
        <v>Jesselyn</v>
      </c>
      <c r="J31" t="str" cm="1">
        <f t="array" ref="J31">INDEX(_xlfn.ANCHORARRAY($Q$11),H31,2)</f>
        <v>C</v>
      </c>
      <c r="K31" s="5" cm="1">
        <f t="array" ref="K31">INDEX(_xlfn.ANCHORARRAY($Q$11),H31,3)</f>
        <v>0.23</v>
      </c>
      <c r="M31" t="str">
        <v>Opalina</v>
      </c>
      <c r="N31" t="str">
        <v>B</v>
      </c>
      <c r="O31">
        <v>0.71499999999999997</v>
      </c>
      <c r="Q31" t="str">
        <v>Tate</v>
      </c>
      <c r="R31" t="str">
        <v>C</v>
      </c>
      <c r="S31">
        <v>0.31</v>
      </c>
    </row>
    <row r="32" spans="4:19">
      <c r="H32">
        <v>10</v>
      </c>
      <c r="I32" t="str" cm="1">
        <f t="array" ref="I32">INDEX(_xlfn.ANCHORARRAY($Q$11),H32,1)</f>
        <v>Raimund</v>
      </c>
      <c r="J32" t="str" cm="1">
        <f t="array" ref="J32">INDEX(_xlfn.ANCHORARRAY($Q$11),H32,2)</f>
        <v>C</v>
      </c>
      <c r="K32" s="5" cm="1">
        <f t="array" ref="K32">INDEX(_xlfn.ANCHORARRAY($Q$11),H32,3)</f>
        <v>0.25</v>
      </c>
      <c r="M32" t="str">
        <v>Merrick</v>
      </c>
      <c r="N32" t="str">
        <v>A</v>
      </c>
      <c r="O32">
        <v>0.71</v>
      </c>
      <c r="Q32" t="str">
        <v>Orrin</v>
      </c>
      <c r="R32" t="str">
        <v>C</v>
      </c>
      <c r="S32">
        <v>0.31</v>
      </c>
    </row>
    <row r="33" spans="8:19">
      <c r="M33" t="str">
        <v>Emmanuel</v>
      </c>
      <c r="N33" t="str">
        <v>B</v>
      </c>
      <c r="O33">
        <v>0.71</v>
      </c>
      <c r="Q33" t="str">
        <v>Ekaterina</v>
      </c>
      <c r="R33" t="str">
        <v>B</v>
      </c>
      <c r="S33">
        <v>0.3125</v>
      </c>
    </row>
    <row r="34" spans="8:19">
      <c r="M34" t="str">
        <v>Bethena</v>
      </c>
      <c r="N34" t="str">
        <v>B</v>
      </c>
      <c r="O34">
        <v>0.70499999999999996</v>
      </c>
      <c r="Q34" t="str">
        <v>Corrine</v>
      </c>
      <c r="R34" t="str">
        <v>A</v>
      </c>
      <c r="S34">
        <v>0.315</v>
      </c>
    </row>
    <row r="35" spans="8:19">
      <c r="M35" t="str">
        <v>Livia</v>
      </c>
      <c r="N35" t="str">
        <v>C</v>
      </c>
      <c r="O35">
        <v>0.69</v>
      </c>
      <c r="Q35" t="str">
        <v>Bent</v>
      </c>
      <c r="R35" t="str">
        <v>B</v>
      </c>
      <c r="S35">
        <v>0.315</v>
      </c>
    </row>
    <row r="36" spans="8:19">
      <c r="M36" t="str">
        <v>Adrianne</v>
      </c>
      <c r="N36" t="str">
        <v>C</v>
      </c>
      <c r="O36">
        <v>0.69</v>
      </c>
      <c r="Q36" t="str">
        <v>Hebert</v>
      </c>
      <c r="R36" t="str">
        <v>A</v>
      </c>
      <c r="S36">
        <v>0.315</v>
      </c>
    </row>
    <row r="37" spans="8:19">
      <c r="M37" t="str">
        <v>Mortimer</v>
      </c>
      <c r="N37" t="str">
        <v>C</v>
      </c>
      <c r="O37">
        <v>0.69</v>
      </c>
      <c r="Q37" t="str">
        <v>Lemmie</v>
      </c>
      <c r="R37" t="str">
        <v>B</v>
      </c>
      <c r="S37">
        <v>0.3175</v>
      </c>
    </row>
    <row r="38" spans="8:19">
      <c r="M38" t="str">
        <v>Missy</v>
      </c>
      <c r="N38" t="str">
        <v>B</v>
      </c>
      <c r="O38">
        <v>0.68500000000000005</v>
      </c>
      <c r="Q38" t="str">
        <v>Hector</v>
      </c>
      <c r="R38" t="str">
        <v>C</v>
      </c>
      <c r="S38">
        <v>0.32</v>
      </c>
    </row>
    <row r="39" spans="8:19">
      <c r="M39" t="str">
        <v>Adah</v>
      </c>
      <c r="N39" t="str">
        <v>A</v>
      </c>
      <c r="O39">
        <v>0.68500000000000005</v>
      </c>
      <c r="Q39" t="str">
        <v>Ailene</v>
      </c>
      <c r="R39" t="str">
        <v>C</v>
      </c>
      <c r="S39">
        <v>0.32750000000000001</v>
      </c>
    </row>
    <row r="40" spans="8:19">
      <c r="H40" s="4" t="s">
        <v>14</v>
      </c>
      <c r="I40" s="4" t="s">
        <v>287</v>
      </c>
      <c r="M40" t="str">
        <v>Winslow</v>
      </c>
      <c r="N40" t="str">
        <v>B</v>
      </c>
      <c r="O40">
        <v>0.6825</v>
      </c>
      <c r="Q40" t="str">
        <v>Chris</v>
      </c>
      <c r="R40" t="str">
        <v>C</v>
      </c>
      <c r="S40">
        <v>0.33250000000000002</v>
      </c>
    </row>
    <row r="41" spans="8:19">
      <c r="H41" t="s">
        <v>288</v>
      </c>
      <c r="I41">
        <f>COUNTIF(Student_Data!O2:O251,"Excellent")</f>
        <v>4</v>
      </c>
      <c r="M41" t="str">
        <v>Fran</v>
      </c>
      <c r="N41" t="str">
        <v>B</v>
      </c>
      <c r="O41">
        <v>0.68</v>
      </c>
      <c r="Q41" t="str">
        <v>Zarla</v>
      </c>
      <c r="R41" t="str">
        <v>B</v>
      </c>
      <c r="S41">
        <v>0.33750000000000002</v>
      </c>
    </row>
    <row r="42" spans="8:19">
      <c r="H42" t="s">
        <v>289</v>
      </c>
      <c r="I42">
        <f>COUNTIF(Student_Data!O2:O251,"Good")</f>
        <v>20</v>
      </c>
      <c r="M42" t="str">
        <v>Baudoin</v>
      </c>
      <c r="N42" t="str">
        <v>C</v>
      </c>
      <c r="O42">
        <v>0.68</v>
      </c>
      <c r="Q42" t="str">
        <v>Margaux</v>
      </c>
      <c r="R42" t="str">
        <v>A</v>
      </c>
      <c r="S42">
        <v>0.34250000000000003</v>
      </c>
    </row>
    <row r="43" spans="8:19">
      <c r="H43" t="s">
        <v>290</v>
      </c>
      <c r="I43">
        <f>COUNTIF(Student_Data!O2:O251,"Needs Improvement")</f>
        <v>106</v>
      </c>
      <c r="M43" t="str">
        <v>Alyse</v>
      </c>
      <c r="N43" t="str">
        <v>A</v>
      </c>
      <c r="O43">
        <v>0.67500000000000004</v>
      </c>
      <c r="Q43" t="str">
        <v>Gloria</v>
      </c>
      <c r="R43" t="str">
        <v>C</v>
      </c>
      <c r="S43">
        <v>0.34499999999999997</v>
      </c>
    </row>
    <row r="44" spans="8:19">
      <c r="H44" t="s">
        <v>291</v>
      </c>
      <c r="I44">
        <f>COUNTIF(Student_Data!O2:O251,"At Risk")</f>
        <v>120</v>
      </c>
      <c r="M44" t="str">
        <v>Britt</v>
      </c>
      <c r="N44" t="str">
        <v>C</v>
      </c>
      <c r="O44">
        <v>0.67500000000000004</v>
      </c>
      <c r="Q44" t="str">
        <v>Rog</v>
      </c>
      <c r="R44" t="str">
        <v>B</v>
      </c>
      <c r="S44">
        <v>0.34499999999999997</v>
      </c>
    </row>
    <row r="45" spans="8:19">
      <c r="M45" t="str">
        <v>Hanan</v>
      </c>
      <c r="N45" t="str">
        <v>A</v>
      </c>
      <c r="O45">
        <v>0.67249999999999999</v>
      </c>
      <c r="Q45" t="str">
        <v>Milo</v>
      </c>
      <c r="R45" t="str">
        <v>A</v>
      </c>
      <c r="S45">
        <v>0.34749999999999998</v>
      </c>
    </row>
    <row r="46" spans="8:19">
      <c r="M46" t="str">
        <v>Eadmund</v>
      </c>
      <c r="N46" t="str">
        <v>A</v>
      </c>
      <c r="O46">
        <v>0.67249999999999999</v>
      </c>
      <c r="Q46" t="str">
        <v>Amber</v>
      </c>
      <c r="R46" t="str">
        <v>C</v>
      </c>
      <c r="S46">
        <v>0.34749999999999998</v>
      </c>
    </row>
    <row r="47" spans="8:19">
      <c r="M47" t="str">
        <v>Romonda</v>
      </c>
      <c r="N47" t="str">
        <v>C</v>
      </c>
      <c r="O47">
        <v>0.67249999999999999</v>
      </c>
      <c r="Q47" t="str">
        <v>Brandie</v>
      </c>
      <c r="R47" t="str">
        <v>B</v>
      </c>
      <c r="S47">
        <v>0.35</v>
      </c>
    </row>
    <row r="48" spans="8:19">
      <c r="M48" t="str">
        <v>Shannon</v>
      </c>
      <c r="N48" t="str">
        <v>B</v>
      </c>
      <c r="O48">
        <v>0.67</v>
      </c>
      <c r="Q48" t="str">
        <v>Norri</v>
      </c>
      <c r="R48" t="str">
        <v>B</v>
      </c>
      <c r="S48">
        <v>0.35</v>
      </c>
    </row>
    <row r="49" spans="13:19">
      <c r="M49" t="str">
        <v>Lorrie</v>
      </c>
      <c r="N49" t="str">
        <v>A</v>
      </c>
      <c r="O49">
        <v>0.67</v>
      </c>
      <c r="Q49" t="str">
        <v>Vaughn</v>
      </c>
      <c r="R49" t="str">
        <v>C</v>
      </c>
      <c r="S49">
        <v>0.35249999999999998</v>
      </c>
    </row>
    <row r="50" spans="13:19">
      <c r="M50" t="str">
        <v>Kaia</v>
      </c>
      <c r="N50" t="str">
        <v>B</v>
      </c>
      <c r="O50">
        <v>0.66749999999999998</v>
      </c>
      <c r="Q50" t="str">
        <v>Dory</v>
      </c>
      <c r="R50" t="str">
        <v>B</v>
      </c>
      <c r="S50">
        <v>0.35499999999999998</v>
      </c>
    </row>
    <row r="51" spans="13:19">
      <c r="M51" t="str">
        <v>Hetty</v>
      </c>
      <c r="N51" t="str">
        <v>B</v>
      </c>
      <c r="O51">
        <v>0.66500000000000004</v>
      </c>
      <c r="Q51" t="str">
        <v>Coretta</v>
      </c>
      <c r="R51" t="str">
        <v>A</v>
      </c>
      <c r="S51">
        <v>0.35749999999999998</v>
      </c>
    </row>
    <row r="52" spans="13:19">
      <c r="M52" t="str">
        <v>Bil</v>
      </c>
      <c r="N52" t="str">
        <v>C</v>
      </c>
      <c r="O52">
        <v>0.66500000000000004</v>
      </c>
      <c r="Q52" t="str">
        <v>Lindsay</v>
      </c>
      <c r="R52" t="str">
        <v>A</v>
      </c>
      <c r="S52">
        <v>0.36</v>
      </c>
    </row>
    <row r="53" spans="13:19">
      <c r="M53" t="str">
        <v>Orin</v>
      </c>
      <c r="N53" t="str">
        <v>B</v>
      </c>
      <c r="O53">
        <v>0.66249999999999998</v>
      </c>
      <c r="Q53" t="str">
        <v>Fidelia</v>
      </c>
      <c r="R53" t="str">
        <v>C</v>
      </c>
      <c r="S53">
        <v>0.36</v>
      </c>
    </row>
    <row r="54" spans="13:19">
      <c r="M54" t="str">
        <v>Hildegaard</v>
      </c>
      <c r="N54" t="str">
        <v>A</v>
      </c>
      <c r="O54">
        <v>0.66</v>
      </c>
      <c r="Q54" t="str">
        <v>Issie</v>
      </c>
      <c r="R54" t="str">
        <v>A</v>
      </c>
      <c r="S54">
        <v>0.36249999999999999</v>
      </c>
    </row>
    <row r="55" spans="13:19">
      <c r="M55" t="str">
        <v>Gracie</v>
      </c>
      <c r="N55" t="str">
        <v>B</v>
      </c>
      <c r="O55">
        <v>0.65749999999999997</v>
      </c>
      <c r="Q55" t="str">
        <v>Barde</v>
      </c>
      <c r="R55" t="str">
        <v>C</v>
      </c>
      <c r="S55">
        <v>0.36249999999999999</v>
      </c>
    </row>
    <row r="56" spans="13:19">
      <c r="M56" t="str">
        <v>Reg</v>
      </c>
      <c r="N56" t="str">
        <v>A</v>
      </c>
      <c r="O56">
        <v>0.65749999999999997</v>
      </c>
      <c r="Q56" t="str">
        <v>Merle</v>
      </c>
      <c r="R56" t="str">
        <v>C</v>
      </c>
      <c r="S56">
        <v>0.36499999999999999</v>
      </c>
    </row>
    <row r="57" spans="13:19">
      <c r="M57" t="str">
        <v>Rosalynd</v>
      </c>
      <c r="N57" t="str">
        <v>C</v>
      </c>
      <c r="O57">
        <v>0.65249999999999997</v>
      </c>
      <c r="Q57" t="str">
        <v>Goldarina</v>
      </c>
      <c r="R57" t="str">
        <v>A</v>
      </c>
      <c r="S57">
        <v>0.37</v>
      </c>
    </row>
    <row r="58" spans="13:19">
      <c r="M58" t="str">
        <v>Reagan</v>
      </c>
      <c r="N58" t="str">
        <v>A</v>
      </c>
      <c r="O58">
        <v>0.65249999999999997</v>
      </c>
      <c r="Q58" t="str">
        <v>Darya</v>
      </c>
      <c r="R58" t="str">
        <v>C</v>
      </c>
      <c r="S58">
        <v>0.3725</v>
      </c>
    </row>
    <row r="59" spans="13:19">
      <c r="M59" t="str">
        <v>Kath</v>
      </c>
      <c r="N59" t="str">
        <v>A</v>
      </c>
      <c r="O59">
        <v>0.64749999999999996</v>
      </c>
      <c r="Q59" t="str">
        <v>Carol</v>
      </c>
      <c r="R59" t="str">
        <v>B</v>
      </c>
      <c r="S59">
        <v>0.375</v>
      </c>
    </row>
    <row r="60" spans="13:19">
      <c r="M60" t="str">
        <v>Betteann</v>
      </c>
      <c r="N60" t="str">
        <v>C</v>
      </c>
      <c r="O60">
        <v>0.64749999999999996</v>
      </c>
      <c r="Q60" t="str">
        <v>Tamra</v>
      </c>
      <c r="R60" t="str">
        <v>C</v>
      </c>
      <c r="S60">
        <v>0.3775</v>
      </c>
    </row>
    <row r="61" spans="13:19">
      <c r="M61" t="str">
        <v>Tymothy</v>
      </c>
      <c r="N61" t="str">
        <v>C</v>
      </c>
      <c r="O61">
        <v>0.64249999999999996</v>
      </c>
      <c r="Q61" t="str">
        <v>Ericka</v>
      </c>
      <c r="R61" t="str">
        <v>A</v>
      </c>
      <c r="S61">
        <v>0.3775</v>
      </c>
    </row>
    <row r="62" spans="13:19">
      <c r="M62" t="str">
        <v>Amery</v>
      </c>
      <c r="N62" t="str">
        <v>A</v>
      </c>
      <c r="O62">
        <v>0.64</v>
      </c>
      <c r="Q62" t="str">
        <v>Dael</v>
      </c>
      <c r="R62" t="str">
        <v>A</v>
      </c>
      <c r="S62">
        <v>0.38</v>
      </c>
    </row>
    <row r="63" spans="13:19">
      <c r="M63" t="str">
        <v>Shanie</v>
      </c>
      <c r="N63" t="str">
        <v>A</v>
      </c>
      <c r="O63">
        <v>0.63749999999999996</v>
      </c>
      <c r="Q63" t="str">
        <v>Tommy</v>
      </c>
      <c r="R63" t="str">
        <v>B</v>
      </c>
      <c r="S63">
        <v>0.38500000000000001</v>
      </c>
    </row>
    <row r="64" spans="13:19">
      <c r="M64" t="str">
        <v>Susy</v>
      </c>
      <c r="N64" t="str">
        <v>B</v>
      </c>
      <c r="O64">
        <v>0.63749999999999996</v>
      </c>
      <c r="Q64" t="str">
        <v>Morganne</v>
      </c>
      <c r="R64" t="str">
        <v>A</v>
      </c>
      <c r="S64">
        <v>0.38750000000000001</v>
      </c>
    </row>
    <row r="65" spans="13:19">
      <c r="M65" t="str">
        <v>Ilaire</v>
      </c>
      <c r="N65" t="str">
        <v>C</v>
      </c>
      <c r="O65">
        <v>0.63749999999999996</v>
      </c>
      <c r="Q65" t="str">
        <v>Jacenta</v>
      </c>
      <c r="R65" t="str">
        <v>C</v>
      </c>
      <c r="S65">
        <v>0.39</v>
      </c>
    </row>
    <row r="66" spans="13:19">
      <c r="M66" t="str">
        <v>Nita</v>
      </c>
      <c r="N66" t="str">
        <v>A</v>
      </c>
      <c r="O66">
        <v>0.63749999999999996</v>
      </c>
      <c r="Q66" t="str">
        <v>Rae</v>
      </c>
      <c r="R66" t="str">
        <v>A</v>
      </c>
      <c r="S66">
        <v>0.39250000000000002</v>
      </c>
    </row>
    <row r="67" spans="13:19">
      <c r="M67" t="str">
        <v>Cobby</v>
      </c>
      <c r="N67" t="str">
        <v>C</v>
      </c>
      <c r="O67">
        <v>0.63500000000000001</v>
      </c>
      <c r="Q67" t="str">
        <v>Ermina</v>
      </c>
      <c r="R67" t="str">
        <v>B</v>
      </c>
      <c r="S67">
        <v>0.39250000000000002</v>
      </c>
    </row>
    <row r="68" spans="13:19">
      <c r="M68" t="str">
        <v>Jody</v>
      </c>
      <c r="N68" t="str">
        <v>B</v>
      </c>
      <c r="O68">
        <v>0.63249999999999995</v>
      </c>
      <c r="Q68" t="str">
        <v>Aretha</v>
      </c>
      <c r="R68" t="str">
        <v>C</v>
      </c>
      <c r="S68">
        <v>0.39500000000000002</v>
      </c>
    </row>
    <row r="69" spans="13:19">
      <c r="M69" t="str">
        <v>Evangelin</v>
      </c>
      <c r="N69" t="str">
        <v>C</v>
      </c>
      <c r="O69">
        <v>0.63249999999999995</v>
      </c>
      <c r="Q69" t="str">
        <v>Benoite</v>
      </c>
      <c r="R69" t="str">
        <v>B</v>
      </c>
      <c r="S69">
        <v>0.40500000000000003</v>
      </c>
    </row>
    <row r="70" spans="13:19">
      <c r="M70" t="str">
        <v>Shalom</v>
      </c>
      <c r="N70" t="str">
        <v>B</v>
      </c>
      <c r="O70">
        <v>0.62749999999999995</v>
      </c>
      <c r="Q70" t="str">
        <v>Hinze</v>
      </c>
      <c r="R70" t="str">
        <v>A</v>
      </c>
      <c r="S70">
        <v>0.40749999999999997</v>
      </c>
    </row>
    <row r="71" spans="13:19">
      <c r="M71" t="str">
        <v>Lazar</v>
      </c>
      <c r="N71" t="str">
        <v>A</v>
      </c>
      <c r="O71">
        <v>0.62749999999999995</v>
      </c>
      <c r="Q71" t="str">
        <v>Pat</v>
      </c>
      <c r="R71" t="str">
        <v>A</v>
      </c>
      <c r="S71">
        <v>0.40749999999999997</v>
      </c>
    </row>
    <row r="72" spans="13:19">
      <c r="M72" t="str">
        <v>Fanny</v>
      </c>
      <c r="N72" t="str">
        <v>C</v>
      </c>
      <c r="O72">
        <v>0.625</v>
      </c>
      <c r="Q72" t="str">
        <v>Elbertina</v>
      </c>
      <c r="R72" t="str">
        <v>A</v>
      </c>
      <c r="S72">
        <v>0.41</v>
      </c>
    </row>
    <row r="73" spans="13:19">
      <c r="M73" t="str">
        <v>Sheffie</v>
      </c>
      <c r="N73" t="str">
        <v>C</v>
      </c>
      <c r="O73">
        <v>0.625</v>
      </c>
      <c r="Q73" t="str">
        <v>Brandise</v>
      </c>
      <c r="R73" t="str">
        <v>A</v>
      </c>
      <c r="S73">
        <v>0.41249999999999998</v>
      </c>
    </row>
    <row r="74" spans="13:19">
      <c r="M74" t="str">
        <v>Stillman</v>
      </c>
      <c r="N74" t="str">
        <v>B</v>
      </c>
      <c r="O74">
        <v>0.62250000000000005</v>
      </c>
      <c r="Q74" t="str">
        <v>Blisse</v>
      </c>
      <c r="R74" t="str">
        <v>B</v>
      </c>
      <c r="S74">
        <v>0.41749999999999998</v>
      </c>
    </row>
    <row r="75" spans="13:19">
      <c r="M75" t="str">
        <v>Desmund</v>
      </c>
      <c r="N75" t="str">
        <v>A</v>
      </c>
      <c r="O75">
        <v>0.62</v>
      </c>
      <c r="Q75" t="str">
        <v>Bevan</v>
      </c>
      <c r="R75" t="str">
        <v>B</v>
      </c>
      <c r="S75">
        <v>0.42</v>
      </c>
    </row>
    <row r="76" spans="13:19">
      <c r="M76" t="str">
        <v>Zack</v>
      </c>
      <c r="N76" t="str">
        <v>B</v>
      </c>
      <c r="O76">
        <v>0.62</v>
      </c>
      <c r="Q76" t="str">
        <v>Yardley</v>
      </c>
      <c r="R76" t="str">
        <v>C</v>
      </c>
      <c r="S76">
        <v>0.42249999999999999</v>
      </c>
    </row>
    <row r="77" spans="13:19">
      <c r="M77" t="str">
        <v>Lief</v>
      </c>
      <c r="N77" t="str">
        <v>B</v>
      </c>
      <c r="O77">
        <v>0.61</v>
      </c>
      <c r="Q77" t="str">
        <v>Jone</v>
      </c>
      <c r="R77" t="str">
        <v>A</v>
      </c>
      <c r="S77">
        <v>0.42499999999999999</v>
      </c>
    </row>
    <row r="78" spans="13:19">
      <c r="M78" t="str">
        <v>Silvia</v>
      </c>
      <c r="N78" t="str">
        <v>A</v>
      </c>
      <c r="O78">
        <v>0.61</v>
      </c>
      <c r="Q78" t="str">
        <v>Lyda</v>
      </c>
      <c r="R78" t="str">
        <v>C</v>
      </c>
      <c r="S78">
        <v>0.42499999999999999</v>
      </c>
    </row>
    <row r="79" spans="13:19">
      <c r="M79" t="str">
        <v>Jeannie</v>
      </c>
      <c r="N79" t="str">
        <v>B</v>
      </c>
      <c r="O79">
        <v>0.61</v>
      </c>
      <c r="Q79" t="str">
        <v>Ashlin</v>
      </c>
      <c r="R79" t="str">
        <v>A</v>
      </c>
      <c r="S79">
        <v>0.42499999999999999</v>
      </c>
    </row>
    <row r="80" spans="13:19">
      <c r="M80" t="str">
        <v>Richard</v>
      </c>
      <c r="N80" t="str">
        <v>A</v>
      </c>
      <c r="O80">
        <v>0.60499999999999998</v>
      </c>
      <c r="Q80" t="str">
        <v>Agace</v>
      </c>
      <c r="R80" t="str">
        <v>C</v>
      </c>
      <c r="S80">
        <v>0.42749999999999999</v>
      </c>
    </row>
    <row r="81" spans="13:19">
      <c r="M81" t="str">
        <v>Aldin</v>
      </c>
      <c r="N81" t="str">
        <v>C</v>
      </c>
      <c r="O81">
        <v>0.60250000000000004</v>
      </c>
      <c r="Q81" t="str">
        <v>Vivyan</v>
      </c>
      <c r="R81" t="str">
        <v>A</v>
      </c>
      <c r="S81">
        <v>0.42749999999999999</v>
      </c>
    </row>
    <row r="82" spans="13:19">
      <c r="M82" t="str">
        <v>Tabbi</v>
      </c>
      <c r="N82" t="str">
        <v>A</v>
      </c>
      <c r="O82">
        <v>0.60250000000000004</v>
      </c>
      <c r="Q82" t="str">
        <v>Aubrey</v>
      </c>
      <c r="R82" t="str">
        <v>A</v>
      </c>
      <c r="S82">
        <v>0.43</v>
      </c>
    </row>
    <row r="83" spans="13:19">
      <c r="M83" t="str">
        <v>Maureene</v>
      </c>
      <c r="N83" t="str">
        <v>B</v>
      </c>
      <c r="O83">
        <v>0.60250000000000004</v>
      </c>
      <c r="Q83" t="str">
        <v>Jocelyne</v>
      </c>
      <c r="R83" t="str">
        <v>C</v>
      </c>
      <c r="S83">
        <v>0.4325</v>
      </c>
    </row>
    <row r="84" spans="13:19">
      <c r="M84" t="str">
        <v>Davis</v>
      </c>
      <c r="N84" t="str">
        <v>A</v>
      </c>
      <c r="O84">
        <v>0.59750000000000003</v>
      </c>
      <c r="Q84" t="str">
        <v>Oberon</v>
      </c>
      <c r="R84" t="str">
        <v>C</v>
      </c>
      <c r="S84">
        <v>0.4325</v>
      </c>
    </row>
    <row r="85" spans="13:19">
      <c r="M85" t="str">
        <v>Tucky</v>
      </c>
      <c r="N85" t="str">
        <v>A</v>
      </c>
      <c r="O85">
        <v>0.59750000000000003</v>
      </c>
      <c r="Q85" t="str">
        <v>Nealon</v>
      </c>
      <c r="R85" t="str">
        <v>B</v>
      </c>
      <c r="S85">
        <v>0.4325</v>
      </c>
    </row>
    <row r="86" spans="13:19">
      <c r="M86" t="str">
        <v>Gilberta</v>
      </c>
      <c r="N86" t="str">
        <v>A</v>
      </c>
      <c r="O86">
        <v>0.59250000000000003</v>
      </c>
      <c r="Q86" t="str">
        <v>Fleming</v>
      </c>
      <c r="R86" t="str">
        <v>C</v>
      </c>
      <c r="S86">
        <v>0.4325</v>
      </c>
    </row>
    <row r="87" spans="13:19">
      <c r="M87" t="str">
        <v>Billie</v>
      </c>
      <c r="N87" t="str">
        <v>C</v>
      </c>
      <c r="O87">
        <v>0.59250000000000003</v>
      </c>
      <c r="Q87" t="str">
        <v>Virgie</v>
      </c>
      <c r="R87" t="str">
        <v>B</v>
      </c>
      <c r="S87">
        <v>0.44</v>
      </c>
    </row>
    <row r="88" spans="13:19">
      <c r="M88" t="str">
        <v>Natty</v>
      </c>
      <c r="N88" t="str">
        <v>A</v>
      </c>
      <c r="O88">
        <v>0.59</v>
      </c>
      <c r="Q88" t="str">
        <v>Sebastian</v>
      </c>
      <c r="R88" t="str">
        <v>A</v>
      </c>
      <c r="S88">
        <v>0.44</v>
      </c>
    </row>
    <row r="89" spans="13:19">
      <c r="M89" t="str">
        <v>Guntar</v>
      </c>
      <c r="N89" t="str">
        <v>B</v>
      </c>
      <c r="O89">
        <v>0.58750000000000002</v>
      </c>
      <c r="Q89" t="str">
        <v>Bobbee</v>
      </c>
      <c r="R89" t="str">
        <v>C</v>
      </c>
      <c r="S89">
        <v>0.4425</v>
      </c>
    </row>
    <row r="90" spans="13:19">
      <c r="M90" t="str">
        <v>Sarah</v>
      </c>
      <c r="N90" t="str">
        <v>B</v>
      </c>
      <c r="O90">
        <v>0.58499999999999996</v>
      </c>
      <c r="Q90" t="str">
        <v>Valaria</v>
      </c>
      <c r="R90" t="str">
        <v>B</v>
      </c>
      <c r="S90">
        <v>0.44500000000000001</v>
      </c>
    </row>
    <row r="91" spans="13:19">
      <c r="M91" t="str">
        <v>Candide</v>
      </c>
      <c r="N91" t="str">
        <v>A</v>
      </c>
      <c r="O91">
        <v>0.58250000000000002</v>
      </c>
      <c r="Q91" t="str">
        <v>Adrian</v>
      </c>
      <c r="R91" t="str">
        <v>C</v>
      </c>
      <c r="S91">
        <v>0.44500000000000001</v>
      </c>
    </row>
    <row r="92" spans="13:19">
      <c r="M92" t="str">
        <v>Anni</v>
      </c>
      <c r="N92" t="str">
        <v>B</v>
      </c>
      <c r="O92">
        <v>0.58250000000000002</v>
      </c>
      <c r="Q92" t="str">
        <v>Ruben</v>
      </c>
      <c r="R92" t="str">
        <v>B</v>
      </c>
      <c r="S92">
        <v>0.44750000000000001</v>
      </c>
    </row>
    <row r="93" spans="13:19">
      <c r="M93" t="str">
        <v>Brien</v>
      </c>
      <c r="N93" t="str">
        <v>C</v>
      </c>
      <c r="O93">
        <v>0.57999999999999996</v>
      </c>
      <c r="Q93" t="str">
        <v>Amabel</v>
      </c>
      <c r="R93" t="str">
        <v>A</v>
      </c>
      <c r="S93">
        <v>0.45</v>
      </c>
    </row>
    <row r="94" spans="13:19">
      <c r="M94" t="str">
        <v>Rollie</v>
      </c>
      <c r="N94" t="str">
        <v>A</v>
      </c>
      <c r="O94">
        <v>0.57499999999999996</v>
      </c>
      <c r="Q94" t="str">
        <v>Ricky</v>
      </c>
      <c r="R94" t="str">
        <v>B</v>
      </c>
      <c r="S94">
        <v>0.45</v>
      </c>
    </row>
    <row r="95" spans="13:19">
      <c r="M95" t="str">
        <v>Alis</v>
      </c>
      <c r="N95" t="str">
        <v>A</v>
      </c>
      <c r="O95">
        <v>0.57499999999999996</v>
      </c>
      <c r="Q95" t="str">
        <v>Brien</v>
      </c>
      <c r="R95" t="str">
        <v>B</v>
      </c>
      <c r="S95">
        <v>0.45</v>
      </c>
    </row>
    <row r="96" spans="13:19">
      <c r="M96" t="str">
        <v>Rosamond</v>
      </c>
      <c r="N96" t="str">
        <v>C</v>
      </c>
      <c r="O96">
        <v>0.57499999999999996</v>
      </c>
      <c r="Q96" t="str">
        <v>Cherie</v>
      </c>
      <c r="R96" t="str">
        <v>C</v>
      </c>
      <c r="S96">
        <v>0.45500000000000002</v>
      </c>
    </row>
    <row r="97" spans="13:19">
      <c r="M97" t="str">
        <v>Alvin</v>
      </c>
      <c r="N97" t="str">
        <v>B</v>
      </c>
      <c r="O97">
        <v>0.56999999999999995</v>
      </c>
      <c r="Q97" t="str">
        <v>Denna</v>
      </c>
      <c r="R97" t="str">
        <v>B</v>
      </c>
      <c r="S97">
        <v>0.45750000000000002</v>
      </c>
    </row>
    <row r="98" spans="13:19">
      <c r="M98" t="str">
        <v>Ruperto</v>
      </c>
      <c r="N98" t="str">
        <v>B</v>
      </c>
      <c r="O98">
        <v>0.56999999999999995</v>
      </c>
      <c r="Q98" t="str">
        <v>Jayme</v>
      </c>
      <c r="R98" t="str">
        <v>B</v>
      </c>
      <c r="S98">
        <v>0.45750000000000002</v>
      </c>
    </row>
    <row r="99" spans="13:19">
      <c r="M99" t="str">
        <v>Teresita</v>
      </c>
      <c r="N99" t="str">
        <v>A</v>
      </c>
      <c r="O99">
        <v>0.5675</v>
      </c>
      <c r="Q99" t="str">
        <v>Brendin</v>
      </c>
      <c r="R99" t="str">
        <v>C</v>
      </c>
      <c r="S99">
        <v>0.46</v>
      </c>
    </row>
    <row r="100" spans="13:19">
      <c r="M100" t="str">
        <v>Moselle</v>
      </c>
      <c r="N100" t="str">
        <v>A</v>
      </c>
      <c r="O100">
        <v>0.5675</v>
      </c>
      <c r="Q100" t="str">
        <v>Codi</v>
      </c>
      <c r="R100" t="str">
        <v>C</v>
      </c>
      <c r="S100">
        <v>0.46</v>
      </c>
    </row>
    <row r="101" spans="13:19">
      <c r="M101" t="str">
        <v>Ichabod</v>
      </c>
      <c r="N101" t="str">
        <v>B</v>
      </c>
      <c r="O101">
        <v>0.56499999999999995</v>
      </c>
      <c r="Q101" t="str">
        <v>Maude</v>
      </c>
      <c r="R101" t="str">
        <v>A</v>
      </c>
      <c r="S101">
        <v>0.46</v>
      </c>
    </row>
    <row r="102" spans="13:19">
      <c r="M102" t="str">
        <v>Peggy</v>
      </c>
      <c r="N102" t="str">
        <v>A</v>
      </c>
      <c r="O102">
        <v>0.5625</v>
      </c>
      <c r="Q102" t="str">
        <v>Anna-diane</v>
      </c>
      <c r="R102" t="str">
        <v>C</v>
      </c>
      <c r="S102">
        <v>0.46250000000000002</v>
      </c>
    </row>
    <row r="103" spans="13:19">
      <c r="M103" t="str">
        <v>Jaymie</v>
      </c>
      <c r="N103" t="str">
        <v>C</v>
      </c>
      <c r="O103">
        <v>0.5625</v>
      </c>
      <c r="Q103" t="str">
        <v>Johannes</v>
      </c>
      <c r="R103" t="str">
        <v>C</v>
      </c>
      <c r="S103">
        <v>0.46250000000000002</v>
      </c>
    </row>
    <row r="104" spans="13:19">
      <c r="M104" t="str">
        <v>Skipp</v>
      </c>
      <c r="N104" t="str">
        <v>C</v>
      </c>
      <c r="O104">
        <v>0.56000000000000005</v>
      </c>
      <c r="Q104" t="str">
        <v>Eugine</v>
      </c>
      <c r="R104" t="str">
        <v>C</v>
      </c>
      <c r="S104">
        <v>0.46250000000000002</v>
      </c>
    </row>
    <row r="105" spans="13:19">
      <c r="M105" t="str">
        <v>Everett</v>
      </c>
      <c r="N105" t="str">
        <v>A</v>
      </c>
      <c r="O105">
        <v>0.5575</v>
      </c>
      <c r="Q105" t="str">
        <v>Cherry</v>
      </c>
      <c r="R105" t="str">
        <v>B</v>
      </c>
      <c r="S105">
        <v>0.46250000000000002</v>
      </c>
    </row>
    <row r="106" spans="13:19">
      <c r="M106" t="str">
        <v>Fannie</v>
      </c>
      <c r="N106" t="str">
        <v>C</v>
      </c>
      <c r="O106">
        <v>0.55500000000000005</v>
      </c>
      <c r="Q106" t="str">
        <v>Guido</v>
      </c>
      <c r="R106" t="str">
        <v>C</v>
      </c>
      <c r="S106">
        <v>0.46250000000000002</v>
      </c>
    </row>
    <row r="107" spans="13:19">
      <c r="M107" t="str">
        <v>Tammy</v>
      </c>
      <c r="N107" t="str">
        <v>B</v>
      </c>
      <c r="O107">
        <v>0.55500000000000005</v>
      </c>
      <c r="Q107" t="str">
        <v>Christan</v>
      </c>
      <c r="R107" t="str">
        <v>C</v>
      </c>
      <c r="S107">
        <v>0.46500000000000002</v>
      </c>
    </row>
    <row r="108" spans="13:19">
      <c r="M108" t="str">
        <v>Nadia</v>
      </c>
      <c r="N108" t="str">
        <v>B</v>
      </c>
      <c r="O108">
        <v>0.55249999999999999</v>
      </c>
      <c r="Q108" t="str">
        <v>Jessamine</v>
      </c>
      <c r="R108" t="str">
        <v>B</v>
      </c>
      <c r="S108">
        <v>0.46750000000000003</v>
      </c>
    </row>
    <row r="109" spans="13:19">
      <c r="M109" t="str">
        <v>Sascha</v>
      </c>
      <c r="N109" t="str">
        <v>B</v>
      </c>
      <c r="O109">
        <v>0.54749999999999999</v>
      </c>
      <c r="Q109" t="str">
        <v>Alard</v>
      </c>
      <c r="R109" t="str">
        <v>A</v>
      </c>
      <c r="S109">
        <v>0.47</v>
      </c>
    </row>
    <row r="110" spans="13:19">
      <c r="M110" t="str">
        <v>Claudina</v>
      </c>
      <c r="N110" t="str">
        <v>C</v>
      </c>
      <c r="O110">
        <v>0.54500000000000004</v>
      </c>
      <c r="Q110" t="str">
        <v>Hali</v>
      </c>
      <c r="R110" t="str">
        <v>C</v>
      </c>
      <c r="S110">
        <v>0.47</v>
      </c>
    </row>
    <row r="111" spans="13:19">
      <c r="M111" t="str">
        <v>Vinny</v>
      </c>
      <c r="N111" t="str">
        <v>B</v>
      </c>
      <c r="O111">
        <v>0.54500000000000004</v>
      </c>
      <c r="Q111" t="str">
        <v>Tabbie</v>
      </c>
      <c r="R111" t="str">
        <v>C</v>
      </c>
      <c r="S111">
        <v>0.47249999999999998</v>
      </c>
    </row>
    <row r="112" spans="13:19">
      <c r="M112" t="str">
        <v>Mufi</v>
      </c>
      <c r="N112" t="str">
        <v>C</v>
      </c>
      <c r="O112">
        <v>0.54500000000000004</v>
      </c>
      <c r="Q112" t="str">
        <v>Cristian</v>
      </c>
      <c r="R112" t="str">
        <v>B</v>
      </c>
      <c r="S112">
        <v>0.47249999999999998</v>
      </c>
    </row>
    <row r="113" spans="13:19">
      <c r="M113" t="str">
        <v>Woodie</v>
      </c>
      <c r="N113" t="str">
        <v>A</v>
      </c>
      <c r="O113">
        <v>0.54249999999999998</v>
      </c>
      <c r="Q113" t="str">
        <v>Page</v>
      </c>
      <c r="R113" t="str">
        <v>B</v>
      </c>
      <c r="S113">
        <v>0.47249999999999998</v>
      </c>
    </row>
    <row r="114" spans="13:19">
      <c r="M114" t="str">
        <v>Arvie</v>
      </c>
      <c r="N114" t="str">
        <v>B</v>
      </c>
      <c r="O114">
        <v>0.54</v>
      </c>
      <c r="Q114" t="str">
        <v>Estel</v>
      </c>
      <c r="R114" t="str">
        <v>C</v>
      </c>
      <c r="S114">
        <v>0.47249999999999998</v>
      </c>
    </row>
    <row r="115" spans="13:19">
      <c r="M115" t="str">
        <v>Drusi</v>
      </c>
      <c r="N115" t="str">
        <v>C</v>
      </c>
      <c r="O115">
        <v>0.54</v>
      </c>
      <c r="Q115" t="str">
        <v>Josh</v>
      </c>
      <c r="R115" t="str">
        <v>A</v>
      </c>
      <c r="S115">
        <v>0.47499999999999998</v>
      </c>
    </row>
    <row r="116" spans="13:19">
      <c r="M116" t="str">
        <v>Adolphus</v>
      </c>
      <c r="N116" t="str">
        <v>A</v>
      </c>
      <c r="O116">
        <v>0.54</v>
      </c>
      <c r="Q116" t="str">
        <v>Fredric</v>
      </c>
      <c r="R116" t="str">
        <v>B</v>
      </c>
      <c r="S116">
        <v>0.47499999999999998</v>
      </c>
    </row>
    <row r="117" spans="13:19">
      <c r="M117" t="str">
        <v>Kirk</v>
      </c>
      <c r="N117" t="str">
        <v>A</v>
      </c>
      <c r="O117">
        <v>0.54</v>
      </c>
      <c r="Q117" t="str">
        <v>Bennie</v>
      </c>
      <c r="R117" t="str">
        <v>B</v>
      </c>
      <c r="S117">
        <v>0.47749999999999998</v>
      </c>
    </row>
    <row r="118" spans="13:19">
      <c r="M118" t="str">
        <v>Fernande</v>
      </c>
      <c r="N118" t="str">
        <v>B</v>
      </c>
      <c r="O118">
        <v>0.54</v>
      </c>
      <c r="Q118" t="str">
        <v>David</v>
      </c>
      <c r="R118" t="str">
        <v>B</v>
      </c>
      <c r="S118">
        <v>0.48</v>
      </c>
    </row>
    <row r="119" spans="13:19">
      <c r="M119" t="str">
        <v>Buffy</v>
      </c>
      <c r="N119" t="str">
        <v>C</v>
      </c>
      <c r="O119">
        <v>0.53749999999999998</v>
      </c>
      <c r="Q119" t="str">
        <v>Ario</v>
      </c>
      <c r="R119" t="str">
        <v>A</v>
      </c>
      <c r="S119">
        <v>0.48</v>
      </c>
    </row>
    <row r="120" spans="13:19">
      <c r="M120" t="str">
        <v>Janey</v>
      </c>
      <c r="N120" t="str">
        <v>C</v>
      </c>
      <c r="O120">
        <v>0.53749999999999998</v>
      </c>
      <c r="Q120" t="str">
        <v>Loella</v>
      </c>
      <c r="R120" t="str">
        <v>A</v>
      </c>
      <c r="S120">
        <v>0.48</v>
      </c>
    </row>
    <row r="121" spans="13:19">
      <c r="M121" t="str">
        <v>Bronnie</v>
      </c>
      <c r="N121" t="str">
        <v>C</v>
      </c>
      <c r="O121">
        <v>0.53249999999999997</v>
      </c>
      <c r="Q121" t="str">
        <v>Susi</v>
      </c>
      <c r="R121" t="str">
        <v>A</v>
      </c>
      <c r="S121">
        <v>0.48</v>
      </c>
    </row>
    <row r="122" spans="13:19">
      <c r="M122" t="str">
        <v>Jehanna</v>
      </c>
      <c r="N122" t="str">
        <v>C</v>
      </c>
      <c r="O122">
        <v>0.53249999999999997</v>
      </c>
      <c r="Q122" t="str">
        <v>Elton</v>
      </c>
      <c r="R122" t="str">
        <v>B</v>
      </c>
      <c r="S122">
        <v>0.48249999999999998</v>
      </c>
    </row>
    <row r="123" spans="13:19">
      <c r="M123" t="str">
        <v>Rina</v>
      </c>
      <c r="N123" t="str">
        <v>C</v>
      </c>
      <c r="O123">
        <v>0.53</v>
      </c>
      <c r="Q123" t="str">
        <v>Richie</v>
      </c>
      <c r="R123" t="str">
        <v>B</v>
      </c>
      <c r="S123">
        <v>0.49</v>
      </c>
    </row>
    <row r="124" spans="13:19">
      <c r="M124" t="str">
        <v>Danya</v>
      </c>
      <c r="N124" t="str">
        <v>C</v>
      </c>
      <c r="O124">
        <v>0.52749999999999997</v>
      </c>
      <c r="Q124" t="str">
        <v>Elyn</v>
      </c>
      <c r="R124" t="str">
        <v>A</v>
      </c>
      <c r="S124">
        <v>0.49</v>
      </c>
    </row>
    <row r="125" spans="13:19">
      <c r="M125" t="str">
        <v>Georgia</v>
      </c>
      <c r="N125" t="str">
        <v>A</v>
      </c>
      <c r="O125">
        <v>0.52749999999999997</v>
      </c>
      <c r="Q125" t="str">
        <v>Claudell</v>
      </c>
      <c r="R125" t="str">
        <v>C</v>
      </c>
      <c r="S125">
        <v>0.49</v>
      </c>
    </row>
    <row r="126" spans="13:19">
      <c r="M126" t="str">
        <v>Matt</v>
      </c>
      <c r="N126" t="str">
        <v>A</v>
      </c>
      <c r="O126">
        <v>0.52749999999999997</v>
      </c>
      <c r="Q126" t="str">
        <v>Beverlie</v>
      </c>
      <c r="R126" t="str">
        <v>B</v>
      </c>
      <c r="S126">
        <v>0.49249999999999999</v>
      </c>
    </row>
    <row r="127" spans="13:19">
      <c r="M127" t="str">
        <v>Keeley</v>
      </c>
      <c r="N127" t="str">
        <v>C</v>
      </c>
      <c r="O127">
        <v>0.52749999999999997</v>
      </c>
      <c r="Q127" t="str">
        <v>Danni</v>
      </c>
      <c r="R127" t="str">
        <v>B</v>
      </c>
      <c r="S127">
        <v>0.49249999999999999</v>
      </c>
    </row>
    <row r="128" spans="13:19">
      <c r="M128" t="str">
        <v>Purcell</v>
      </c>
      <c r="N128" t="str">
        <v>B</v>
      </c>
      <c r="O128">
        <v>0.52749999999999997</v>
      </c>
      <c r="Q128" t="str">
        <v>Olenka</v>
      </c>
      <c r="R128" t="str">
        <v>B</v>
      </c>
      <c r="S128">
        <v>0.495</v>
      </c>
    </row>
    <row r="129" spans="13:19">
      <c r="M129" t="str">
        <v>Karrie</v>
      </c>
      <c r="N129" t="str">
        <v>A</v>
      </c>
      <c r="O129">
        <v>0.52249999999999996</v>
      </c>
      <c r="Q129" t="str">
        <v>Kent</v>
      </c>
      <c r="R129" t="str">
        <v>C</v>
      </c>
      <c r="S129">
        <v>0.4975</v>
      </c>
    </row>
    <row r="130" spans="13:19">
      <c r="M130" t="str">
        <v>Dannel</v>
      </c>
      <c r="N130" t="str">
        <v>C</v>
      </c>
      <c r="O130">
        <v>0.51749999999999996</v>
      </c>
      <c r="Q130" t="str">
        <v>Alysa</v>
      </c>
      <c r="R130" t="str">
        <v>B</v>
      </c>
      <c r="S130">
        <v>0.4975</v>
      </c>
    </row>
    <row r="131" spans="13:19">
      <c r="M131" t="str">
        <v>Olivia</v>
      </c>
      <c r="N131" t="str">
        <v>B</v>
      </c>
      <c r="O131">
        <v>0.51749999999999996</v>
      </c>
      <c r="Q131" t="str">
        <v>Teddy</v>
      </c>
      <c r="R131" t="str">
        <v>A</v>
      </c>
      <c r="S131">
        <v>0.5</v>
      </c>
    </row>
    <row r="132" spans="13:19">
      <c r="M132" t="str">
        <v>Ranee</v>
      </c>
      <c r="N132" t="str">
        <v>A</v>
      </c>
      <c r="O132">
        <v>0.51249999999999996</v>
      </c>
      <c r="Q132" t="str">
        <v>Emlyn</v>
      </c>
      <c r="R132" t="str">
        <v>C</v>
      </c>
      <c r="S132">
        <v>0.5</v>
      </c>
    </row>
    <row r="133" spans="13:19">
      <c r="M133" t="str">
        <v>Paten</v>
      </c>
      <c r="N133" t="str">
        <v>C</v>
      </c>
      <c r="O133">
        <v>0.51</v>
      </c>
      <c r="Q133" t="str">
        <v>Pepi</v>
      </c>
      <c r="R133" t="str">
        <v>A</v>
      </c>
      <c r="S133">
        <v>0.5</v>
      </c>
    </row>
    <row r="134" spans="13:19">
      <c r="M134" t="str">
        <v>Alaine</v>
      </c>
      <c r="N134" t="str">
        <v>A</v>
      </c>
      <c r="O134">
        <v>0.51</v>
      </c>
      <c r="Q134" t="str">
        <v>Ivan</v>
      </c>
      <c r="R134" t="str">
        <v>C</v>
      </c>
      <c r="S134">
        <v>0.5</v>
      </c>
    </row>
    <row r="135" spans="13:19">
      <c r="M135" t="str">
        <v>Codi</v>
      </c>
      <c r="N135" t="str">
        <v>A</v>
      </c>
      <c r="O135">
        <v>0.51</v>
      </c>
      <c r="Q135" t="str">
        <v>Josefa</v>
      </c>
      <c r="R135" t="str">
        <v>C</v>
      </c>
      <c r="S135">
        <v>0.50749999999999995</v>
      </c>
    </row>
    <row r="136" spans="13:19">
      <c r="M136" t="str">
        <v>Josefa</v>
      </c>
      <c r="N136" t="str">
        <v>C</v>
      </c>
      <c r="O136">
        <v>0.50749999999999995</v>
      </c>
      <c r="Q136" t="str">
        <v>Paten</v>
      </c>
      <c r="R136" t="str">
        <v>C</v>
      </c>
      <c r="S136">
        <v>0.51</v>
      </c>
    </row>
    <row r="137" spans="13:19">
      <c r="M137" t="str">
        <v>Teddy</v>
      </c>
      <c r="N137" t="str">
        <v>A</v>
      </c>
      <c r="O137">
        <v>0.5</v>
      </c>
      <c r="Q137" t="str">
        <v>Alaine</v>
      </c>
      <c r="R137" t="str">
        <v>A</v>
      </c>
      <c r="S137">
        <v>0.51</v>
      </c>
    </row>
    <row r="138" spans="13:19">
      <c r="M138" t="str">
        <v>Emlyn</v>
      </c>
      <c r="N138" t="str">
        <v>C</v>
      </c>
      <c r="O138">
        <v>0.5</v>
      </c>
      <c r="Q138" t="str">
        <v>Codi</v>
      </c>
      <c r="R138" t="str">
        <v>A</v>
      </c>
      <c r="S138">
        <v>0.51</v>
      </c>
    </row>
    <row r="139" spans="13:19">
      <c r="M139" t="str">
        <v>Pepi</v>
      </c>
      <c r="N139" t="str">
        <v>A</v>
      </c>
      <c r="O139">
        <v>0.5</v>
      </c>
      <c r="Q139" t="str">
        <v>Ranee</v>
      </c>
      <c r="R139" t="str">
        <v>A</v>
      </c>
      <c r="S139">
        <v>0.51249999999999996</v>
      </c>
    </row>
    <row r="140" spans="13:19">
      <c r="M140" t="str">
        <v>Ivan</v>
      </c>
      <c r="N140" t="str">
        <v>C</v>
      </c>
      <c r="O140">
        <v>0.5</v>
      </c>
      <c r="Q140" t="str">
        <v>Dannel</v>
      </c>
      <c r="R140" t="str">
        <v>C</v>
      </c>
      <c r="S140">
        <v>0.51749999999999996</v>
      </c>
    </row>
    <row r="141" spans="13:19">
      <c r="M141" t="str">
        <v>Kent</v>
      </c>
      <c r="N141" t="str">
        <v>C</v>
      </c>
      <c r="O141">
        <v>0.4975</v>
      </c>
      <c r="Q141" t="str">
        <v>Olivia</v>
      </c>
      <c r="R141" t="str">
        <v>B</v>
      </c>
      <c r="S141">
        <v>0.51749999999999996</v>
      </c>
    </row>
    <row r="142" spans="13:19">
      <c r="M142" t="str">
        <v>Alysa</v>
      </c>
      <c r="N142" t="str">
        <v>B</v>
      </c>
      <c r="O142">
        <v>0.4975</v>
      </c>
      <c r="Q142" t="str">
        <v>Karrie</v>
      </c>
      <c r="R142" t="str">
        <v>A</v>
      </c>
      <c r="S142">
        <v>0.52249999999999996</v>
      </c>
    </row>
    <row r="143" spans="13:19">
      <c r="M143" t="str">
        <v>Olenka</v>
      </c>
      <c r="N143" t="str">
        <v>B</v>
      </c>
      <c r="O143">
        <v>0.495</v>
      </c>
      <c r="Q143" t="str">
        <v>Danya</v>
      </c>
      <c r="R143" t="str">
        <v>C</v>
      </c>
      <c r="S143">
        <v>0.52749999999999997</v>
      </c>
    </row>
    <row r="144" spans="13:19">
      <c r="M144" t="str">
        <v>Beverlie</v>
      </c>
      <c r="N144" t="str">
        <v>B</v>
      </c>
      <c r="O144">
        <v>0.49249999999999999</v>
      </c>
      <c r="Q144" t="str">
        <v>Georgia</v>
      </c>
      <c r="R144" t="str">
        <v>A</v>
      </c>
      <c r="S144">
        <v>0.52749999999999997</v>
      </c>
    </row>
    <row r="145" spans="13:19">
      <c r="M145" t="str">
        <v>Danni</v>
      </c>
      <c r="N145" t="str">
        <v>B</v>
      </c>
      <c r="O145">
        <v>0.49249999999999999</v>
      </c>
      <c r="Q145" t="str">
        <v>Matt</v>
      </c>
      <c r="R145" t="str">
        <v>A</v>
      </c>
      <c r="S145">
        <v>0.52749999999999997</v>
      </c>
    </row>
    <row r="146" spans="13:19">
      <c r="M146" t="str">
        <v>Richie</v>
      </c>
      <c r="N146" t="str">
        <v>B</v>
      </c>
      <c r="O146">
        <v>0.49</v>
      </c>
      <c r="Q146" t="str">
        <v>Keeley</v>
      </c>
      <c r="R146" t="str">
        <v>C</v>
      </c>
      <c r="S146">
        <v>0.52749999999999997</v>
      </c>
    </row>
    <row r="147" spans="13:19">
      <c r="M147" t="str">
        <v>Elyn</v>
      </c>
      <c r="N147" t="str">
        <v>A</v>
      </c>
      <c r="O147">
        <v>0.49</v>
      </c>
      <c r="Q147" t="str">
        <v>Purcell</v>
      </c>
      <c r="R147" t="str">
        <v>B</v>
      </c>
      <c r="S147">
        <v>0.52749999999999997</v>
      </c>
    </row>
    <row r="148" spans="13:19">
      <c r="M148" t="str">
        <v>Claudell</v>
      </c>
      <c r="N148" t="str">
        <v>C</v>
      </c>
      <c r="O148">
        <v>0.49</v>
      </c>
      <c r="Q148" t="str">
        <v>Rina</v>
      </c>
      <c r="R148" t="str">
        <v>C</v>
      </c>
      <c r="S148">
        <v>0.53</v>
      </c>
    </row>
    <row r="149" spans="13:19">
      <c r="M149" t="str">
        <v>Elton</v>
      </c>
      <c r="N149" t="str">
        <v>B</v>
      </c>
      <c r="O149">
        <v>0.48249999999999998</v>
      </c>
      <c r="Q149" t="str">
        <v>Bronnie</v>
      </c>
      <c r="R149" t="str">
        <v>C</v>
      </c>
      <c r="S149">
        <v>0.53249999999999997</v>
      </c>
    </row>
    <row r="150" spans="13:19">
      <c r="M150" t="str">
        <v>David</v>
      </c>
      <c r="N150" t="str">
        <v>B</v>
      </c>
      <c r="O150">
        <v>0.48</v>
      </c>
      <c r="Q150" t="str">
        <v>Jehanna</v>
      </c>
      <c r="R150" t="str">
        <v>C</v>
      </c>
      <c r="S150">
        <v>0.53249999999999997</v>
      </c>
    </row>
    <row r="151" spans="13:19">
      <c r="M151" t="str">
        <v>Ario</v>
      </c>
      <c r="N151" t="str">
        <v>A</v>
      </c>
      <c r="O151">
        <v>0.48</v>
      </c>
      <c r="Q151" t="str">
        <v>Buffy</v>
      </c>
      <c r="R151" t="str">
        <v>C</v>
      </c>
      <c r="S151">
        <v>0.53749999999999998</v>
      </c>
    </row>
    <row r="152" spans="13:19">
      <c r="M152" t="str">
        <v>Loella</v>
      </c>
      <c r="N152" t="str">
        <v>A</v>
      </c>
      <c r="O152">
        <v>0.48</v>
      </c>
      <c r="Q152" t="str">
        <v>Janey</v>
      </c>
      <c r="R152" t="str">
        <v>C</v>
      </c>
      <c r="S152">
        <v>0.53749999999999998</v>
      </c>
    </row>
    <row r="153" spans="13:19">
      <c r="M153" t="str">
        <v>Susi</v>
      </c>
      <c r="N153" t="str">
        <v>A</v>
      </c>
      <c r="O153">
        <v>0.48</v>
      </c>
      <c r="Q153" t="str">
        <v>Arvie</v>
      </c>
      <c r="R153" t="str">
        <v>B</v>
      </c>
      <c r="S153">
        <v>0.54</v>
      </c>
    </row>
    <row r="154" spans="13:19">
      <c r="M154" t="str">
        <v>Bennie</v>
      </c>
      <c r="N154" t="str">
        <v>B</v>
      </c>
      <c r="O154">
        <v>0.47749999999999998</v>
      </c>
      <c r="Q154" t="str">
        <v>Drusi</v>
      </c>
      <c r="R154" t="str">
        <v>C</v>
      </c>
      <c r="S154">
        <v>0.54</v>
      </c>
    </row>
    <row r="155" spans="13:19">
      <c r="M155" t="str">
        <v>Josh</v>
      </c>
      <c r="N155" t="str">
        <v>A</v>
      </c>
      <c r="O155">
        <v>0.47499999999999998</v>
      </c>
      <c r="Q155" t="str">
        <v>Adolphus</v>
      </c>
      <c r="R155" t="str">
        <v>A</v>
      </c>
      <c r="S155">
        <v>0.54</v>
      </c>
    </row>
    <row r="156" spans="13:19">
      <c r="M156" t="str">
        <v>Fredric</v>
      </c>
      <c r="N156" t="str">
        <v>B</v>
      </c>
      <c r="O156">
        <v>0.47499999999999998</v>
      </c>
      <c r="Q156" t="str">
        <v>Kirk</v>
      </c>
      <c r="R156" t="str">
        <v>A</v>
      </c>
      <c r="S156">
        <v>0.54</v>
      </c>
    </row>
    <row r="157" spans="13:19">
      <c r="M157" t="str">
        <v>Tabbie</v>
      </c>
      <c r="N157" t="str">
        <v>C</v>
      </c>
      <c r="O157">
        <v>0.47249999999999998</v>
      </c>
      <c r="Q157" t="str">
        <v>Fernande</v>
      </c>
      <c r="R157" t="str">
        <v>B</v>
      </c>
      <c r="S157">
        <v>0.54</v>
      </c>
    </row>
    <row r="158" spans="13:19">
      <c r="M158" t="str">
        <v>Cristian</v>
      </c>
      <c r="N158" t="str">
        <v>B</v>
      </c>
      <c r="O158">
        <v>0.47249999999999998</v>
      </c>
      <c r="Q158" t="str">
        <v>Woodie</v>
      </c>
      <c r="R158" t="str">
        <v>A</v>
      </c>
      <c r="S158">
        <v>0.54249999999999998</v>
      </c>
    </row>
    <row r="159" spans="13:19">
      <c r="M159" t="str">
        <v>Page</v>
      </c>
      <c r="N159" t="str">
        <v>B</v>
      </c>
      <c r="O159">
        <v>0.47249999999999998</v>
      </c>
      <c r="Q159" t="str">
        <v>Claudina</v>
      </c>
      <c r="R159" t="str">
        <v>C</v>
      </c>
      <c r="S159">
        <v>0.54500000000000004</v>
      </c>
    </row>
    <row r="160" spans="13:19">
      <c r="M160" t="str">
        <v>Estel</v>
      </c>
      <c r="N160" t="str">
        <v>C</v>
      </c>
      <c r="O160">
        <v>0.47249999999999998</v>
      </c>
      <c r="Q160" t="str">
        <v>Vinny</v>
      </c>
      <c r="R160" t="str">
        <v>B</v>
      </c>
      <c r="S160">
        <v>0.54500000000000004</v>
      </c>
    </row>
    <row r="161" spans="13:19">
      <c r="M161" t="str">
        <v>Alard</v>
      </c>
      <c r="N161" t="str">
        <v>A</v>
      </c>
      <c r="O161">
        <v>0.47</v>
      </c>
      <c r="Q161" t="str">
        <v>Mufi</v>
      </c>
      <c r="R161" t="str">
        <v>C</v>
      </c>
      <c r="S161">
        <v>0.54500000000000004</v>
      </c>
    </row>
    <row r="162" spans="13:19">
      <c r="M162" t="str">
        <v>Hali</v>
      </c>
      <c r="N162" t="str">
        <v>C</v>
      </c>
      <c r="O162">
        <v>0.47</v>
      </c>
      <c r="Q162" t="str">
        <v>Sascha</v>
      </c>
      <c r="R162" t="str">
        <v>B</v>
      </c>
      <c r="S162">
        <v>0.54749999999999999</v>
      </c>
    </row>
    <row r="163" spans="13:19">
      <c r="M163" t="str">
        <v>Jessamine</v>
      </c>
      <c r="N163" t="str">
        <v>B</v>
      </c>
      <c r="O163">
        <v>0.46750000000000003</v>
      </c>
      <c r="Q163" t="str">
        <v>Nadia</v>
      </c>
      <c r="R163" t="str">
        <v>B</v>
      </c>
      <c r="S163">
        <v>0.55249999999999999</v>
      </c>
    </row>
    <row r="164" spans="13:19">
      <c r="M164" t="str">
        <v>Christan</v>
      </c>
      <c r="N164" t="str">
        <v>C</v>
      </c>
      <c r="O164">
        <v>0.46500000000000002</v>
      </c>
      <c r="Q164" t="str">
        <v>Fannie</v>
      </c>
      <c r="R164" t="str">
        <v>C</v>
      </c>
      <c r="S164">
        <v>0.55500000000000005</v>
      </c>
    </row>
    <row r="165" spans="13:19">
      <c r="M165" t="str">
        <v>Anna-diane</v>
      </c>
      <c r="N165" t="str">
        <v>C</v>
      </c>
      <c r="O165">
        <v>0.46250000000000002</v>
      </c>
      <c r="Q165" t="str">
        <v>Tammy</v>
      </c>
      <c r="R165" t="str">
        <v>B</v>
      </c>
      <c r="S165">
        <v>0.55500000000000005</v>
      </c>
    </row>
    <row r="166" spans="13:19">
      <c r="M166" t="str">
        <v>Johannes</v>
      </c>
      <c r="N166" t="str">
        <v>C</v>
      </c>
      <c r="O166">
        <v>0.46250000000000002</v>
      </c>
      <c r="Q166" t="str">
        <v>Everett</v>
      </c>
      <c r="R166" t="str">
        <v>A</v>
      </c>
      <c r="S166">
        <v>0.5575</v>
      </c>
    </row>
    <row r="167" spans="13:19">
      <c r="M167" t="str">
        <v>Eugine</v>
      </c>
      <c r="N167" t="str">
        <v>C</v>
      </c>
      <c r="O167">
        <v>0.46250000000000002</v>
      </c>
      <c r="Q167" t="str">
        <v>Skipp</v>
      </c>
      <c r="R167" t="str">
        <v>C</v>
      </c>
      <c r="S167">
        <v>0.56000000000000005</v>
      </c>
    </row>
    <row r="168" spans="13:19">
      <c r="M168" t="str">
        <v>Cherry</v>
      </c>
      <c r="N168" t="str">
        <v>B</v>
      </c>
      <c r="O168">
        <v>0.46250000000000002</v>
      </c>
      <c r="Q168" t="str">
        <v>Peggy</v>
      </c>
      <c r="R168" t="str">
        <v>A</v>
      </c>
      <c r="S168">
        <v>0.5625</v>
      </c>
    </row>
    <row r="169" spans="13:19">
      <c r="M169" t="str">
        <v>Guido</v>
      </c>
      <c r="N169" t="str">
        <v>C</v>
      </c>
      <c r="O169">
        <v>0.46250000000000002</v>
      </c>
      <c r="Q169" t="str">
        <v>Jaymie</v>
      </c>
      <c r="R169" t="str">
        <v>C</v>
      </c>
      <c r="S169">
        <v>0.5625</v>
      </c>
    </row>
    <row r="170" spans="13:19">
      <c r="M170" t="str">
        <v>Brendin</v>
      </c>
      <c r="N170" t="str">
        <v>C</v>
      </c>
      <c r="O170">
        <v>0.46</v>
      </c>
      <c r="Q170" t="str">
        <v>Ichabod</v>
      </c>
      <c r="R170" t="str">
        <v>B</v>
      </c>
      <c r="S170">
        <v>0.56499999999999995</v>
      </c>
    </row>
    <row r="171" spans="13:19">
      <c r="M171" t="str">
        <v>Codi</v>
      </c>
      <c r="N171" t="str">
        <v>C</v>
      </c>
      <c r="O171">
        <v>0.46</v>
      </c>
      <c r="Q171" t="str">
        <v>Teresita</v>
      </c>
      <c r="R171" t="str">
        <v>A</v>
      </c>
      <c r="S171">
        <v>0.5675</v>
      </c>
    </row>
    <row r="172" spans="13:19">
      <c r="M172" t="str">
        <v>Maude</v>
      </c>
      <c r="N172" t="str">
        <v>A</v>
      </c>
      <c r="O172">
        <v>0.46</v>
      </c>
      <c r="Q172" t="str">
        <v>Moselle</v>
      </c>
      <c r="R172" t="str">
        <v>A</v>
      </c>
      <c r="S172">
        <v>0.5675</v>
      </c>
    </row>
    <row r="173" spans="13:19">
      <c r="M173" t="str">
        <v>Denna</v>
      </c>
      <c r="N173" t="str">
        <v>B</v>
      </c>
      <c r="O173">
        <v>0.45750000000000002</v>
      </c>
      <c r="Q173" t="str">
        <v>Alvin</v>
      </c>
      <c r="R173" t="str">
        <v>B</v>
      </c>
      <c r="S173">
        <v>0.56999999999999995</v>
      </c>
    </row>
    <row r="174" spans="13:19">
      <c r="M174" t="str">
        <v>Jayme</v>
      </c>
      <c r="N174" t="str">
        <v>B</v>
      </c>
      <c r="O174">
        <v>0.45750000000000002</v>
      </c>
      <c r="Q174" t="str">
        <v>Ruperto</v>
      </c>
      <c r="R174" t="str">
        <v>B</v>
      </c>
      <c r="S174">
        <v>0.56999999999999995</v>
      </c>
    </row>
    <row r="175" spans="13:19">
      <c r="M175" t="str">
        <v>Cherie</v>
      </c>
      <c r="N175" t="str">
        <v>C</v>
      </c>
      <c r="O175">
        <v>0.45500000000000002</v>
      </c>
      <c r="Q175" t="str">
        <v>Rollie</v>
      </c>
      <c r="R175" t="str">
        <v>A</v>
      </c>
      <c r="S175">
        <v>0.57499999999999996</v>
      </c>
    </row>
    <row r="176" spans="13:19">
      <c r="M176" t="str">
        <v>Amabel</v>
      </c>
      <c r="N176" t="str">
        <v>A</v>
      </c>
      <c r="O176">
        <v>0.45</v>
      </c>
      <c r="Q176" t="str">
        <v>Alis</v>
      </c>
      <c r="R176" t="str">
        <v>A</v>
      </c>
      <c r="S176">
        <v>0.57499999999999996</v>
      </c>
    </row>
    <row r="177" spans="13:19">
      <c r="M177" t="str">
        <v>Ricky</v>
      </c>
      <c r="N177" t="str">
        <v>B</v>
      </c>
      <c r="O177">
        <v>0.45</v>
      </c>
      <c r="Q177" t="str">
        <v>Rosamond</v>
      </c>
      <c r="R177" t="str">
        <v>C</v>
      </c>
      <c r="S177">
        <v>0.57499999999999996</v>
      </c>
    </row>
    <row r="178" spans="13:19">
      <c r="M178" t="str">
        <v>Brien</v>
      </c>
      <c r="N178" t="str">
        <v>B</v>
      </c>
      <c r="O178">
        <v>0.45</v>
      </c>
      <c r="Q178" t="str">
        <v>Brien</v>
      </c>
      <c r="R178" t="str">
        <v>C</v>
      </c>
      <c r="S178">
        <v>0.57999999999999996</v>
      </c>
    </row>
    <row r="179" spans="13:19">
      <c r="M179" t="str">
        <v>Ruben</v>
      </c>
      <c r="N179" t="str">
        <v>B</v>
      </c>
      <c r="O179">
        <v>0.44750000000000001</v>
      </c>
      <c r="Q179" t="str">
        <v>Candide</v>
      </c>
      <c r="R179" t="str">
        <v>A</v>
      </c>
      <c r="S179">
        <v>0.58250000000000002</v>
      </c>
    </row>
    <row r="180" spans="13:19">
      <c r="M180" t="str">
        <v>Valaria</v>
      </c>
      <c r="N180" t="str">
        <v>B</v>
      </c>
      <c r="O180">
        <v>0.44500000000000001</v>
      </c>
      <c r="Q180" t="str">
        <v>Anni</v>
      </c>
      <c r="R180" t="str">
        <v>B</v>
      </c>
      <c r="S180">
        <v>0.58250000000000002</v>
      </c>
    </row>
    <row r="181" spans="13:19">
      <c r="M181" t="str">
        <v>Adrian</v>
      </c>
      <c r="N181" t="str">
        <v>C</v>
      </c>
      <c r="O181">
        <v>0.44500000000000001</v>
      </c>
      <c r="Q181" t="str">
        <v>Sarah</v>
      </c>
      <c r="R181" t="str">
        <v>B</v>
      </c>
      <c r="S181">
        <v>0.58499999999999996</v>
      </c>
    </row>
    <row r="182" spans="13:19">
      <c r="M182" t="str">
        <v>Bobbee</v>
      </c>
      <c r="N182" t="str">
        <v>C</v>
      </c>
      <c r="O182">
        <v>0.4425</v>
      </c>
      <c r="Q182" t="str">
        <v>Guntar</v>
      </c>
      <c r="R182" t="str">
        <v>B</v>
      </c>
      <c r="S182">
        <v>0.58750000000000002</v>
      </c>
    </row>
    <row r="183" spans="13:19">
      <c r="M183" t="str">
        <v>Virgie</v>
      </c>
      <c r="N183" t="str">
        <v>B</v>
      </c>
      <c r="O183">
        <v>0.44</v>
      </c>
      <c r="Q183" t="str">
        <v>Natty</v>
      </c>
      <c r="R183" t="str">
        <v>A</v>
      </c>
      <c r="S183">
        <v>0.59</v>
      </c>
    </row>
    <row r="184" spans="13:19">
      <c r="M184" t="str">
        <v>Sebastian</v>
      </c>
      <c r="N184" t="str">
        <v>A</v>
      </c>
      <c r="O184">
        <v>0.44</v>
      </c>
      <c r="Q184" t="str">
        <v>Gilberta</v>
      </c>
      <c r="R184" t="str">
        <v>A</v>
      </c>
      <c r="S184">
        <v>0.59250000000000003</v>
      </c>
    </row>
    <row r="185" spans="13:19">
      <c r="M185" t="str">
        <v>Jocelyne</v>
      </c>
      <c r="N185" t="str">
        <v>C</v>
      </c>
      <c r="O185">
        <v>0.4325</v>
      </c>
      <c r="Q185" t="str">
        <v>Billie</v>
      </c>
      <c r="R185" t="str">
        <v>C</v>
      </c>
      <c r="S185">
        <v>0.59250000000000003</v>
      </c>
    </row>
    <row r="186" spans="13:19">
      <c r="M186" t="str">
        <v>Oberon</v>
      </c>
      <c r="N186" t="str">
        <v>C</v>
      </c>
      <c r="O186">
        <v>0.4325</v>
      </c>
      <c r="Q186" t="str">
        <v>Davis</v>
      </c>
      <c r="R186" t="str">
        <v>A</v>
      </c>
      <c r="S186">
        <v>0.59750000000000003</v>
      </c>
    </row>
    <row r="187" spans="13:19">
      <c r="M187" t="str">
        <v>Nealon</v>
      </c>
      <c r="N187" t="str">
        <v>B</v>
      </c>
      <c r="O187">
        <v>0.4325</v>
      </c>
      <c r="Q187" t="str">
        <v>Tucky</v>
      </c>
      <c r="R187" t="str">
        <v>A</v>
      </c>
      <c r="S187">
        <v>0.59750000000000003</v>
      </c>
    </row>
    <row r="188" spans="13:19">
      <c r="M188" t="str">
        <v>Fleming</v>
      </c>
      <c r="N188" t="str">
        <v>C</v>
      </c>
      <c r="O188">
        <v>0.4325</v>
      </c>
      <c r="Q188" t="str">
        <v>Aldin</v>
      </c>
      <c r="R188" t="str">
        <v>C</v>
      </c>
      <c r="S188">
        <v>0.60250000000000004</v>
      </c>
    </row>
    <row r="189" spans="13:19">
      <c r="M189" t="str">
        <v>Aubrey</v>
      </c>
      <c r="N189" t="str">
        <v>A</v>
      </c>
      <c r="O189">
        <v>0.43</v>
      </c>
      <c r="Q189" t="str">
        <v>Tabbi</v>
      </c>
      <c r="R189" t="str">
        <v>A</v>
      </c>
      <c r="S189">
        <v>0.60250000000000004</v>
      </c>
    </row>
    <row r="190" spans="13:19">
      <c r="M190" t="str">
        <v>Agace</v>
      </c>
      <c r="N190" t="str">
        <v>C</v>
      </c>
      <c r="O190">
        <v>0.42749999999999999</v>
      </c>
      <c r="Q190" t="str">
        <v>Maureene</v>
      </c>
      <c r="R190" t="str">
        <v>B</v>
      </c>
      <c r="S190">
        <v>0.60250000000000004</v>
      </c>
    </row>
    <row r="191" spans="13:19">
      <c r="M191" t="str">
        <v>Vivyan</v>
      </c>
      <c r="N191" t="str">
        <v>A</v>
      </c>
      <c r="O191">
        <v>0.42749999999999999</v>
      </c>
      <c r="Q191" t="str">
        <v>Richard</v>
      </c>
      <c r="R191" t="str">
        <v>A</v>
      </c>
      <c r="S191">
        <v>0.60499999999999998</v>
      </c>
    </row>
    <row r="192" spans="13:19">
      <c r="M192" t="str">
        <v>Jone</v>
      </c>
      <c r="N192" t="str">
        <v>A</v>
      </c>
      <c r="O192">
        <v>0.42499999999999999</v>
      </c>
      <c r="Q192" t="str">
        <v>Lief</v>
      </c>
      <c r="R192" t="str">
        <v>B</v>
      </c>
      <c r="S192">
        <v>0.61</v>
      </c>
    </row>
    <row r="193" spans="13:19">
      <c r="M193" t="str">
        <v>Lyda</v>
      </c>
      <c r="N193" t="str">
        <v>C</v>
      </c>
      <c r="O193">
        <v>0.42499999999999999</v>
      </c>
      <c r="Q193" t="str">
        <v>Silvia</v>
      </c>
      <c r="R193" t="str">
        <v>A</v>
      </c>
      <c r="S193">
        <v>0.61</v>
      </c>
    </row>
    <row r="194" spans="13:19">
      <c r="M194" t="str">
        <v>Ashlin</v>
      </c>
      <c r="N194" t="str">
        <v>A</v>
      </c>
      <c r="O194">
        <v>0.42499999999999999</v>
      </c>
      <c r="Q194" t="str">
        <v>Jeannie</v>
      </c>
      <c r="R194" t="str">
        <v>B</v>
      </c>
      <c r="S194">
        <v>0.61</v>
      </c>
    </row>
    <row r="195" spans="13:19">
      <c r="M195" t="str">
        <v>Yardley</v>
      </c>
      <c r="N195" t="str">
        <v>C</v>
      </c>
      <c r="O195">
        <v>0.42249999999999999</v>
      </c>
      <c r="Q195" t="str">
        <v>Desmund</v>
      </c>
      <c r="R195" t="str">
        <v>A</v>
      </c>
      <c r="S195">
        <v>0.62</v>
      </c>
    </row>
    <row r="196" spans="13:19">
      <c r="M196" t="str">
        <v>Bevan</v>
      </c>
      <c r="N196" t="str">
        <v>B</v>
      </c>
      <c r="O196">
        <v>0.42</v>
      </c>
      <c r="Q196" t="str">
        <v>Zack</v>
      </c>
      <c r="R196" t="str">
        <v>B</v>
      </c>
      <c r="S196">
        <v>0.62</v>
      </c>
    </row>
    <row r="197" spans="13:19">
      <c r="M197" t="str">
        <v>Blisse</v>
      </c>
      <c r="N197" t="str">
        <v>B</v>
      </c>
      <c r="O197">
        <v>0.41749999999999998</v>
      </c>
      <c r="Q197" t="str">
        <v>Stillman</v>
      </c>
      <c r="R197" t="str">
        <v>B</v>
      </c>
      <c r="S197">
        <v>0.62250000000000005</v>
      </c>
    </row>
    <row r="198" spans="13:19">
      <c r="M198" t="str">
        <v>Brandise</v>
      </c>
      <c r="N198" t="str">
        <v>A</v>
      </c>
      <c r="O198">
        <v>0.41249999999999998</v>
      </c>
      <c r="Q198" t="str">
        <v>Fanny</v>
      </c>
      <c r="R198" t="str">
        <v>C</v>
      </c>
      <c r="S198">
        <v>0.625</v>
      </c>
    </row>
    <row r="199" spans="13:19">
      <c r="M199" t="str">
        <v>Elbertina</v>
      </c>
      <c r="N199" t="str">
        <v>A</v>
      </c>
      <c r="O199">
        <v>0.41</v>
      </c>
      <c r="Q199" t="str">
        <v>Sheffie</v>
      </c>
      <c r="R199" t="str">
        <v>C</v>
      </c>
      <c r="S199">
        <v>0.625</v>
      </c>
    </row>
    <row r="200" spans="13:19">
      <c r="M200" t="str">
        <v>Hinze</v>
      </c>
      <c r="N200" t="str">
        <v>A</v>
      </c>
      <c r="O200">
        <v>0.40749999999999997</v>
      </c>
      <c r="Q200" t="str">
        <v>Shalom</v>
      </c>
      <c r="R200" t="str">
        <v>B</v>
      </c>
      <c r="S200">
        <v>0.62749999999999995</v>
      </c>
    </row>
    <row r="201" spans="13:19">
      <c r="M201" t="str">
        <v>Pat</v>
      </c>
      <c r="N201" t="str">
        <v>A</v>
      </c>
      <c r="O201">
        <v>0.40749999999999997</v>
      </c>
      <c r="Q201" t="str">
        <v>Lazar</v>
      </c>
      <c r="R201" t="str">
        <v>A</v>
      </c>
      <c r="S201">
        <v>0.62749999999999995</v>
      </c>
    </row>
    <row r="202" spans="13:19">
      <c r="M202" t="str">
        <v>Benoite</v>
      </c>
      <c r="N202" t="str">
        <v>B</v>
      </c>
      <c r="O202">
        <v>0.40500000000000003</v>
      </c>
      <c r="Q202" t="str">
        <v>Jody</v>
      </c>
      <c r="R202" t="str">
        <v>B</v>
      </c>
      <c r="S202">
        <v>0.63249999999999995</v>
      </c>
    </row>
    <row r="203" spans="13:19">
      <c r="M203" t="str">
        <v>Aretha</v>
      </c>
      <c r="N203" t="str">
        <v>C</v>
      </c>
      <c r="O203">
        <v>0.39500000000000002</v>
      </c>
      <c r="Q203" t="str">
        <v>Evangelin</v>
      </c>
      <c r="R203" t="str">
        <v>C</v>
      </c>
      <c r="S203">
        <v>0.63249999999999995</v>
      </c>
    </row>
    <row r="204" spans="13:19">
      <c r="M204" t="str">
        <v>Rae</v>
      </c>
      <c r="N204" t="str">
        <v>A</v>
      </c>
      <c r="O204">
        <v>0.39250000000000002</v>
      </c>
      <c r="Q204" t="str">
        <v>Cobby</v>
      </c>
      <c r="R204" t="str">
        <v>C</v>
      </c>
      <c r="S204">
        <v>0.63500000000000001</v>
      </c>
    </row>
    <row r="205" spans="13:19">
      <c r="M205" t="str">
        <v>Ermina</v>
      </c>
      <c r="N205" t="str">
        <v>B</v>
      </c>
      <c r="O205">
        <v>0.39250000000000002</v>
      </c>
      <c r="Q205" t="str">
        <v>Shanie</v>
      </c>
      <c r="R205" t="str">
        <v>A</v>
      </c>
      <c r="S205">
        <v>0.63749999999999996</v>
      </c>
    </row>
    <row r="206" spans="13:19">
      <c r="M206" t="str">
        <v>Jacenta</v>
      </c>
      <c r="N206" t="str">
        <v>C</v>
      </c>
      <c r="O206">
        <v>0.39</v>
      </c>
      <c r="Q206" t="str">
        <v>Susy</v>
      </c>
      <c r="R206" t="str">
        <v>B</v>
      </c>
      <c r="S206">
        <v>0.63749999999999996</v>
      </c>
    </row>
    <row r="207" spans="13:19">
      <c r="M207" t="str">
        <v>Morganne</v>
      </c>
      <c r="N207" t="str">
        <v>A</v>
      </c>
      <c r="O207">
        <v>0.38750000000000001</v>
      </c>
      <c r="Q207" t="str">
        <v>Ilaire</v>
      </c>
      <c r="R207" t="str">
        <v>C</v>
      </c>
      <c r="S207">
        <v>0.63749999999999996</v>
      </c>
    </row>
    <row r="208" spans="13:19">
      <c r="M208" t="str">
        <v>Tommy</v>
      </c>
      <c r="N208" t="str">
        <v>B</v>
      </c>
      <c r="O208">
        <v>0.38500000000000001</v>
      </c>
      <c r="Q208" t="str">
        <v>Nita</v>
      </c>
      <c r="R208" t="str">
        <v>A</v>
      </c>
      <c r="S208">
        <v>0.63749999999999996</v>
      </c>
    </row>
    <row r="209" spans="13:19">
      <c r="M209" t="str">
        <v>Dael</v>
      </c>
      <c r="N209" t="str">
        <v>A</v>
      </c>
      <c r="O209">
        <v>0.38</v>
      </c>
      <c r="Q209" t="str">
        <v>Amery</v>
      </c>
      <c r="R209" t="str">
        <v>A</v>
      </c>
      <c r="S209">
        <v>0.64</v>
      </c>
    </row>
    <row r="210" spans="13:19">
      <c r="M210" t="str">
        <v>Tamra</v>
      </c>
      <c r="N210" t="str">
        <v>C</v>
      </c>
      <c r="O210">
        <v>0.3775</v>
      </c>
      <c r="Q210" t="str">
        <v>Tymothy</v>
      </c>
      <c r="R210" t="str">
        <v>C</v>
      </c>
      <c r="S210">
        <v>0.64249999999999996</v>
      </c>
    </row>
    <row r="211" spans="13:19">
      <c r="M211" t="str">
        <v>Ericka</v>
      </c>
      <c r="N211" t="str">
        <v>A</v>
      </c>
      <c r="O211">
        <v>0.3775</v>
      </c>
      <c r="Q211" t="str">
        <v>Kath</v>
      </c>
      <c r="R211" t="str">
        <v>A</v>
      </c>
      <c r="S211">
        <v>0.64749999999999996</v>
      </c>
    </row>
    <row r="212" spans="13:19">
      <c r="M212" t="str">
        <v>Carol</v>
      </c>
      <c r="N212" t="str">
        <v>B</v>
      </c>
      <c r="O212">
        <v>0.375</v>
      </c>
      <c r="Q212" t="str">
        <v>Betteann</v>
      </c>
      <c r="R212" t="str">
        <v>C</v>
      </c>
      <c r="S212">
        <v>0.64749999999999996</v>
      </c>
    </row>
    <row r="213" spans="13:19">
      <c r="M213" t="str">
        <v>Darya</v>
      </c>
      <c r="N213" t="str">
        <v>C</v>
      </c>
      <c r="O213">
        <v>0.3725</v>
      </c>
      <c r="Q213" t="str">
        <v>Rosalynd</v>
      </c>
      <c r="R213" t="str">
        <v>C</v>
      </c>
      <c r="S213">
        <v>0.65249999999999997</v>
      </c>
    </row>
    <row r="214" spans="13:19">
      <c r="M214" t="str">
        <v>Goldarina</v>
      </c>
      <c r="N214" t="str">
        <v>A</v>
      </c>
      <c r="O214">
        <v>0.37</v>
      </c>
      <c r="Q214" t="str">
        <v>Reagan</v>
      </c>
      <c r="R214" t="str">
        <v>A</v>
      </c>
      <c r="S214">
        <v>0.65249999999999997</v>
      </c>
    </row>
    <row r="215" spans="13:19">
      <c r="M215" t="str">
        <v>Merle</v>
      </c>
      <c r="N215" t="str">
        <v>C</v>
      </c>
      <c r="O215">
        <v>0.36499999999999999</v>
      </c>
      <c r="Q215" t="str">
        <v>Gracie</v>
      </c>
      <c r="R215" t="str">
        <v>B</v>
      </c>
      <c r="S215">
        <v>0.65749999999999997</v>
      </c>
    </row>
    <row r="216" spans="13:19">
      <c r="M216" t="str">
        <v>Issie</v>
      </c>
      <c r="N216" t="str">
        <v>A</v>
      </c>
      <c r="O216">
        <v>0.36249999999999999</v>
      </c>
      <c r="Q216" t="str">
        <v>Reg</v>
      </c>
      <c r="R216" t="str">
        <v>A</v>
      </c>
      <c r="S216">
        <v>0.65749999999999997</v>
      </c>
    </row>
    <row r="217" spans="13:19">
      <c r="M217" t="str">
        <v>Barde</v>
      </c>
      <c r="N217" t="str">
        <v>C</v>
      </c>
      <c r="O217">
        <v>0.36249999999999999</v>
      </c>
      <c r="Q217" t="str">
        <v>Hildegaard</v>
      </c>
      <c r="R217" t="str">
        <v>A</v>
      </c>
      <c r="S217">
        <v>0.66</v>
      </c>
    </row>
    <row r="218" spans="13:19">
      <c r="M218" t="str">
        <v>Lindsay</v>
      </c>
      <c r="N218" t="str">
        <v>A</v>
      </c>
      <c r="O218">
        <v>0.36</v>
      </c>
      <c r="Q218" t="str">
        <v>Orin</v>
      </c>
      <c r="R218" t="str">
        <v>B</v>
      </c>
      <c r="S218">
        <v>0.66249999999999998</v>
      </c>
    </row>
    <row r="219" spans="13:19">
      <c r="M219" t="str">
        <v>Fidelia</v>
      </c>
      <c r="N219" t="str">
        <v>C</v>
      </c>
      <c r="O219">
        <v>0.36</v>
      </c>
      <c r="Q219" t="str">
        <v>Hetty</v>
      </c>
      <c r="R219" t="str">
        <v>B</v>
      </c>
      <c r="S219">
        <v>0.66500000000000004</v>
      </c>
    </row>
    <row r="220" spans="13:19">
      <c r="M220" t="str">
        <v>Coretta</v>
      </c>
      <c r="N220" t="str">
        <v>A</v>
      </c>
      <c r="O220">
        <v>0.35749999999999998</v>
      </c>
      <c r="Q220" t="str">
        <v>Bil</v>
      </c>
      <c r="R220" t="str">
        <v>C</v>
      </c>
      <c r="S220">
        <v>0.66500000000000004</v>
      </c>
    </row>
    <row r="221" spans="13:19">
      <c r="M221" t="str">
        <v>Dory</v>
      </c>
      <c r="N221" t="str">
        <v>B</v>
      </c>
      <c r="O221">
        <v>0.35499999999999998</v>
      </c>
      <c r="Q221" t="str">
        <v>Kaia</v>
      </c>
      <c r="R221" t="str">
        <v>B</v>
      </c>
      <c r="S221">
        <v>0.66749999999999998</v>
      </c>
    </row>
    <row r="222" spans="13:19">
      <c r="M222" t="str">
        <v>Vaughn</v>
      </c>
      <c r="N222" t="str">
        <v>C</v>
      </c>
      <c r="O222">
        <v>0.35249999999999998</v>
      </c>
      <c r="Q222" t="str">
        <v>Shannon</v>
      </c>
      <c r="R222" t="str">
        <v>B</v>
      </c>
      <c r="S222">
        <v>0.67</v>
      </c>
    </row>
    <row r="223" spans="13:19">
      <c r="M223" t="str">
        <v>Brandie</v>
      </c>
      <c r="N223" t="str">
        <v>B</v>
      </c>
      <c r="O223">
        <v>0.35</v>
      </c>
      <c r="Q223" t="str">
        <v>Lorrie</v>
      </c>
      <c r="R223" t="str">
        <v>A</v>
      </c>
      <c r="S223">
        <v>0.67</v>
      </c>
    </row>
    <row r="224" spans="13:19">
      <c r="M224" t="str">
        <v>Norri</v>
      </c>
      <c r="N224" t="str">
        <v>B</v>
      </c>
      <c r="O224">
        <v>0.35</v>
      </c>
      <c r="Q224" t="str">
        <v>Hanan</v>
      </c>
      <c r="R224" t="str">
        <v>A</v>
      </c>
      <c r="S224">
        <v>0.67249999999999999</v>
      </c>
    </row>
    <row r="225" spans="13:19">
      <c r="M225" t="str">
        <v>Milo</v>
      </c>
      <c r="N225" t="str">
        <v>A</v>
      </c>
      <c r="O225">
        <v>0.34749999999999998</v>
      </c>
      <c r="Q225" t="str">
        <v>Eadmund</v>
      </c>
      <c r="R225" t="str">
        <v>A</v>
      </c>
      <c r="S225">
        <v>0.67249999999999999</v>
      </c>
    </row>
    <row r="226" spans="13:19">
      <c r="M226" t="str">
        <v>Amber</v>
      </c>
      <c r="N226" t="str">
        <v>C</v>
      </c>
      <c r="O226">
        <v>0.34749999999999998</v>
      </c>
      <c r="Q226" t="str">
        <v>Romonda</v>
      </c>
      <c r="R226" t="str">
        <v>C</v>
      </c>
      <c r="S226">
        <v>0.67249999999999999</v>
      </c>
    </row>
    <row r="227" spans="13:19">
      <c r="M227" t="str">
        <v>Gloria</v>
      </c>
      <c r="N227" t="str">
        <v>C</v>
      </c>
      <c r="O227">
        <v>0.34499999999999997</v>
      </c>
      <c r="Q227" t="str">
        <v>Alyse</v>
      </c>
      <c r="R227" t="str">
        <v>A</v>
      </c>
      <c r="S227">
        <v>0.67500000000000004</v>
      </c>
    </row>
    <row r="228" spans="13:19">
      <c r="M228" t="str">
        <v>Rog</v>
      </c>
      <c r="N228" t="str">
        <v>B</v>
      </c>
      <c r="O228">
        <v>0.34499999999999997</v>
      </c>
      <c r="Q228" t="str">
        <v>Britt</v>
      </c>
      <c r="R228" t="str">
        <v>C</v>
      </c>
      <c r="S228">
        <v>0.67500000000000004</v>
      </c>
    </row>
    <row r="229" spans="13:19">
      <c r="M229" t="str">
        <v>Margaux</v>
      </c>
      <c r="N229" t="str">
        <v>A</v>
      </c>
      <c r="O229">
        <v>0.34250000000000003</v>
      </c>
      <c r="Q229" t="str">
        <v>Fran</v>
      </c>
      <c r="R229" t="str">
        <v>B</v>
      </c>
      <c r="S229">
        <v>0.68</v>
      </c>
    </row>
    <row r="230" spans="13:19">
      <c r="M230" t="str">
        <v>Zarla</v>
      </c>
      <c r="N230" t="str">
        <v>B</v>
      </c>
      <c r="O230">
        <v>0.33750000000000002</v>
      </c>
      <c r="Q230" t="str">
        <v>Baudoin</v>
      </c>
      <c r="R230" t="str">
        <v>C</v>
      </c>
      <c r="S230">
        <v>0.68</v>
      </c>
    </row>
    <row r="231" spans="13:19">
      <c r="M231" t="str">
        <v>Chris</v>
      </c>
      <c r="N231" t="str">
        <v>C</v>
      </c>
      <c r="O231">
        <v>0.33250000000000002</v>
      </c>
      <c r="Q231" t="str">
        <v>Winslow</v>
      </c>
      <c r="R231" t="str">
        <v>B</v>
      </c>
      <c r="S231">
        <v>0.6825</v>
      </c>
    </row>
    <row r="232" spans="13:19">
      <c r="M232" t="str">
        <v>Ailene</v>
      </c>
      <c r="N232" t="str">
        <v>C</v>
      </c>
      <c r="O232">
        <v>0.32750000000000001</v>
      </c>
      <c r="Q232" t="str">
        <v>Missy</v>
      </c>
      <c r="R232" t="str">
        <v>B</v>
      </c>
      <c r="S232">
        <v>0.68500000000000005</v>
      </c>
    </row>
    <row r="233" spans="13:19">
      <c r="M233" t="str">
        <v>Hector</v>
      </c>
      <c r="N233" t="str">
        <v>C</v>
      </c>
      <c r="O233">
        <v>0.32</v>
      </c>
      <c r="Q233" t="str">
        <v>Adah</v>
      </c>
      <c r="R233" t="str">
        <v>A</v>
      </c>
      <c r="S233">
        <v>0.68500000000000005</v>
      </c>
    </row>
    <row r="234" spans="13:19">
      <c r="M234" t="str">
        <v>Lemmie</v>
      </c>
      <c r="N234" t="str">
        <v>B</v>
      </c>
      <c r="O234">
        <v>0.3175</v>
      </c>
      <c r="Q234" t="str">
        <v>Livia</v>
      </c>
      <c r="R234" t="str">
        <v>C</v>
      </c>
      <c r="S234">
        <v>0.69</v>
      </c>
    </row>
    <row r="235" spans="13:19">
      <c r="M235" t="str">
        <v>Corrine</v>
      </c>
      <c r="N235" t="str">
        <v>A</v>
      </c>
      <c r="O235">
        <v>0.315</v>
      </c>
      <c r="Q235" t="str">
        <v>Adrianne</v>
      </c>
      <c r="R235" t="str">
        <v>C</v>
      </c>
      <c r="S235">
        <v>0.69</v>
      </c>
    </row>
    <row r="236" spans="13:19">
      <c r="M236" t="str">
        <v>Bent</v>
      </c>
      <c r="N236" t="str">
        <v>B</v>
      </c>
      <c r="O236">
        <v>0.315</v>
      </c>
      <c r="Q236" t="str">
        <v>Mortimer</v>
      </c>
      <c r="R236" t="str">
        <v>C</v>
      </c>
      <c r="S236">
        <v>0.69</v>
      </c>
    </row>
    <row r="237" spans="13:19">
      <c r="M237" t="str">
        <v>Hebert</v>
      </c>
      <c r="N237" t="str">
        <v>A</v>
      </c>
      <c r="O237">
        <v>0.315</v>
      </c>
      <c r="Q237" t="str">
        <v>Bethena</v>
      </c>
      <c r="R237" t="str">
        <v>B</v>
      </c>
      <c r="S237">
        <v>0.70499999999999996</v>
      </c>
    </row>
    <row r="238" spans="13:19">
      <c r="M238" t="str">
        <v>Ekaterina</v>
      </c>
      <c r="N238" t="str">
        <v>B</v>
      </c>
      <c r="O238">
        <v>0.3125</v>
      </c>
      <c r="Q238" t="str">
        <v>Merrick</v>
      </c>
      <c r="R238" t="str">
        <v>A</v>
      </c>
      <c r="S238">
        <v>0.71</v>
      </c>
    </row>
    <row r="239" spans="13:19">
      <c r="M239" t="str">
        <v>Tate</v>
      </c>
      <c r="N239" t="str">
        <v>C</v>
      </c>
      <c r="O239">
        <v>0.31</v>
      </c>
      <c r="Q239" t="str">
        <v>Emmanuel</v>
      </c>
      <c r="R239" t="str">
        <v>B</v>
      </c>
      <c r="S239">
        <v>0.71</v>
      </c>
    </row>
    <row r="240" spans="13:19">
      <c r="M240" t="str">
        <v>Orrin</v>
      </c>
      <c r="N240" t="str">
        <v>C</v>
      </c>
      <c r="O240">
        <v>0.31</v>
      </c>
      <c r="Q240" t="str">
        <v>Opalina</v>
      </c>
      <c r="R240" t="str">
        <v>B</v>
      </c>
      <c r="S240">
        <v>0.71499999999999997</v>
      </c>
    </row>
    <row r="241" spans="13:19">
      <c r="M241" t="str">
        <v>Abel</v>
      </c>
      <c r="N241" t="str">
        <v>A</v>
      </c>
      <c r="O241">
        <v>0.3075</v>
      </c>
      <c r="Q241" t="str">
        <v>Patty</v>
      </c>
      <c r="R241" t="str">
        <v>B</v>
      </c>
      <c r="S241">
        <v>0.72</v>
      </c>
    </row>
    <row r="242" spans="13:19">
      <c r="M242" t="str">
        <v>Christoph</v>
      </c>
      <c r="N242" t="str">
        <v>C</v>
      </c>
      <c r="O242">
        <v>0.30249999999999999</v>
      </c>
      <c r="Q242" t="str">
        <v>Jaquenette</v>
      </c>
      <c r="R242" t="str">
        <v>C</v>
      </c>
      <c r="S242">
        <v>0.72499999999999998</v>
      </c>
    </row>
    <row r="243" spans="13:19">
      <c r="M243" t="str">
        <v>Ezekiel</v>
      </c>
      <c r="N243" t="str">
        <v>A</v>
      </c>
      <c r="O243">
        <v>0.30249999999999999</v>
      </c>
      <c r="Q243" t="str">
        <v>Rosalyn</v>
      </c>
      <c r="R243" t="str">
        <v>C</v>
      </c>
      <c r="S243">
        <v>0.72499999999999998</v>
      </c>
    </row>
    <row r="244" spans="13:19">
      <c r="M244" t="str">
        <v>Isidora</v>
      </c>
      <c r="N244" t="str">
        <v>C</v>
      </c>
      <c r="O244">
        <v>0.3</v>
      </c>
      <c r="Q244" t="str">
        <v>Zenia</v>
      </c>
      <c r="R244" t="str">
        <v>C</v>
      </c>
      <c r="S244">
        <v>0.73499999999999999</v>
      </c>
    </row>
    <row r="245" spans="13:19">
      <c r="M245" t="str">
        <v>Starlin</v>
      </c>
      <c r="N245" t="str">
        <v>C</v>
      </c>
      <c r="O245">
        <v>0.28249999999999997</v>
      </c>
      <c r="Q245" t="str">
        <v>Domingo</v>
      </c>
      <c r="R245" t="str">
        <v>C</v>
      </c>
      <c r="S245">
        <v>0.73499999999999999</v>
      </c>
    </row>
    <row r="246" spans="13:19">
      <c r="M246" t="str">
        <v>Massimiliano</v>
      </c>
      <c r="N246" t="str">
        <v>A</v>
      </c>
      <c r="O246">
        <v>0.27500000000000002</v>
      </c>
      <c r="Q246" t="str">
        <v>Humfrid</v>
      </c>
      <c r="R246" t="str">
        <v>B</v>
      </c>
      <c r="S246">
        <v>0.75</v>
      </c>
    </row>
    <row r="247" spans="13:19">
      <c r="M247" t="str">
        <v>Linn</v>
      </c>
      <c r="N247" t="str">
        <v>C</v>
      </c>
      <c r="O247">
        <v>0.27500000000000002</v>
      </c>
      <c r="Q247" t="str">
        <v>Inger</v>
      </c>
      <c r="R247" t="str">
        <v>B</v>
      </c>
      <c r="S247">
        <v>0.76</v>
      </c>
    </row>
    <row r="248" spans="13:19">
      <c r="M248" t="str">
        <v>Dory</v>
      </c>
      <c r="N248" t="str">
        <v>B</v>
      </c>
      <c r="O248">
        <v>0.27250000000000002</v>
      </c>
      <c r="Q248" t="str">
        <v>Valma</v>
      </c>
      <c r="R248" t="str">
        <v>C</v>
      </c>
      <c r="S248">
        <v>0.76249999999999996</v>
      </c>
    </row>
    <row r="249" spans="13:19">
      <c r="M249" t="str">
        <v>Willem</v>
      </c>
      <c r="N249" t="str">
        <v>C</v>
      </c>
      <c r="O249">
        <v>0.27250000000000002</v>
      </c>
      <c r="Q249" t="str">
        <v>Davidde</v>
      </c>
      <c r="R249" t="str">
        <v>C</v>
      </c>
      <c r="S249">
        <v>0.76249999999999996</v>
      </c>
    </row>
    <row r="250" spans="13:19">
      <c r="M250" t="str">
        <v>Morrie</v>
      </c>
      <c r="N250" t="str">
        <v>B</v>
      </c>
      <c r="O250">
        <v>0.25750000000000001</v>
      </c>
      <c r="Q250" t="str">
        <v>Charmine</v>
      </c>
      <c r="R250" t="str">
        <v>A</v>
      </c>
      <c r="S250">
        <v>0.77249999999999996</v>
      </c>
    </row>
    <row r="251" spans="13:19">
      <c r="M251" t="str">
        <v>Raimund</v>
      </c>
      <c r="N251" t="str">
        <v>C</v>
      </c>
      <c r="O251">
        <v>0.25</v>
      </c>
      <c r="Q251" t="str">
        <v>Malissa</v>
      </c>
      <c r="R251" t="str">
        <v>C</v>
      </c>
      <c r="S251">
        <v>0.77500000000000002</v>
      </c>
    </row>
    <row r="252" spans="13:19">
      <c r="M252" t="str">
        <v>Jesselyn</v>
      </c>
      <c r="N252" t="str">
        <v>C</v>
      </c>
      <c r="O252">
        <v>0.23</v>
      </c>
      <c r="Q252" t="str">
        <v>Leda</v>
      </c>
      <c r="R252" t="str">
        <v>B</v>
      </c>
      <c r="S252">
        <v>0.77749999999999997</v>
      </c>
    </row>
    <row r="253" spans="13:19">
      <c r="M253" t="str">
        <v>Alasteir</v>
      </c>
      <c r="N253" t="str">
        <v>A</v>
      </c>
      <c r="O253">
        <v>0.2225</v>
      </c>
      <c r="Q253" t="str">
        <v>Luelle</v>
      </c>
      <c r="R253" t="str">
        <v>B</v>
      </c>
      <c r="S253">
        <v>0.79249999999999998</v>
      </c>
    </row>
    <row r="254" spans="13:19">
      <c r="M254" t="str">
        <v>Nickie</v>
      </c>
      <c r="N254" t="str">
        <v>C</v>
      </c>
      <c r="O254">
        <v>0.19500000000000001</v>
      </c>
      <c r="Q254" t="str">
        <v>Herold</v>
      </c>
      <c r="R254" t="str">
        <v>A</v>
      </c>
      <c r="S254">
        <v>0.8</v>
      </c>
    </row>
    <row r="255" spans="13:19">
      <c r="M255" t="str">
        <v>Josepha</v>
      </c>
      <c r="N255" t="str">
        <v>C</v>
      </c>
      <c r="O255">
        <v>0.1925</v>
      </c>
      <c r="Q255" t="str">
        <v>Val</v>
      </c>
      <c r="R255" t="str">
        <v>B</v>
      </c>
      <c r="S255">
        <v>0.8</v>
      </c>
    </row>
    <row r="256" spans="13:19">
      <c r="M256" t="str">
        <v>Jocelin</v>
      </c>
      <c r="N256" t="str">
        <v>A</v>
      </c>
      <c r="O256">
        <v>0.1825</v>
      </c>
      <c r="Q256" t="str">
        <v>Ruddie</v>
      </c>
      <c r="R256" t="str">
        <v>B</v>
      </c>
      <c r="S256">
        <v>0.83250000000000002</v>
      </c>
    </row>
    <row r="257" spans="13:19">
      <c r="M257" t="str">
        <v>Berget</v>
      </c>
      <c r="N257" t="str">
        <v>C</v>
      </c>
      <c r="O257">
        <v>0.1825</v>
      </c>
      <c r="Q257" t="str">
        <v>Daffi</v>
      </c>
      <c r="R257" t="str">
        <v>A</v>
      </c>
      <c r="S257">
        <v>0.85250000000000004</v>
      </c>
    </row>
    <row r="258" spans="13:19">
      <c r="M258" t="str">
        <v>Blake</v>
      </c>
      <c r="N258" t="str">
        <v>B</v>
      </c>
      <c r="O258">
        <v>0.17499999999999999</v>
      </c>
      <c r="Q258" t="str">
        <v>Nil</v>
      </c>
      <c r="R258" t="str">
        <v>A</v>
      </c>
      <c r="S258">
        <v>0.86750000000000005</v>
      </c>
    </row>
    <row r="259" spans="13:19">
      <c r="M259" t="str">
        <v>Ashlan</v>
      </c>
      <c r="N259" t="str">
        <v>B</v>
      </c>
      <c r="O259">
        <v>0.16750000000000001</v>
      </c>
      <c r="Q259" t="str">
        <v>Patrizia</v>
      </c>
      <c r="R259" t="str">
        <v>A</v>
      </c>
      <c r="S259">
        <v>0.89</v>
      </c>
    </row>
    <row r="260" spans="13:19">
      <c r="M260" t="str">
        <v>Ginnifer</v>
      </c>
      <c r="N260" t="str">
        <v>C</v>
      </c>
      <c r="O260">
        <v>0.14249999999999999</v>
      </c>
      <c r="Q260" t="str">
        <v>Dunn</v>
      </c>
      <c r="R260" t="str">
        <v>C</v>
      </c>
      <c r="S260">
        <v>0.90249999999999997</v>
      </c>
    </row>
  </sheetData>
  <mergeCells count="3">
    <mergeCell ref="A1:B1"/>
    <mergeCell ref="D1:E1"/>
    <mergeCell ref="H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6AB1-D4FF-4E56-9A8A-32EB04ECFFE8}">
  <dimension ref="A1:H8"/>
  <sheetViews>
    <sheetView tabSelected="1" topLeftCell="A23" workbookViewId="0">
      <selection activeCell="N30" sqref="N30:O31"/>
    </sheetView>
  </sheetViews>
  <sheetFormatPr defaultRowHeight="15"/>
  <cols>
    <col min="1" max="1" width="21.7109375" customWidth="1"/>
    <col min="3" max="3" width="20" customWidth="1"/>
    <col min="5" max="5" width="15.140625" customWidth="1"/>
    <col min="7" max="7" width="19.28515625" customWidth="1"/>
    <col min="8" max="8" width="13.140625" customWidth="1"/>
  </cols>
  <sheetData>
    <row r="1" spans="1:8" ht="18.75">
      <c r="A1" s="7" t="s">
        <v>292</v>
      </c>
      <c r="B1" s="7"/>
      <c r="C1" s="7"/>
      <c r="D1" s="7"/>
      <c r="E1" s="7"/>
      <c r="F1" s="7"/>
      <c r="G1" s="7"/>
      <c r="H1" s="7"/>
    </row>
    <row r="3" spans="1:8">
      <c r="A3" s="8" t="s">
        <v>270</v>
      </c>
      <c r="B3" s="9">
        <f>Analysis!B2</f>
        <v>250</v>
      </c>
      <c r="C3" s="8" t="s">
        <v>275</v>
      </c>
      <c r="D3" s="10">
        <f>Analysis!B3</f>
        <v>0.51176999999999995</v>
      </c>
      <c r="E3" s="8" t="s">
        <v>277</v>
      </c>
      <c r="F3" s="11">
        <f>Analysis!B4</f>
        <v>0.52</v>
      </c>
      <c r="G3" s="8" t="s">
        <v>278</v>
      </c>
      <c r="H3" s="13">
        <f>Analysis!B5</f>
        <v>0.90249999999999997</v>
      </c>
    </row>
    <row r="5" spans="1:8">
      <c r="A5" s="8" t="s">
        <v>279</v>
      </c>
      <c r="B5" s="10">
        <f>Analysis!B6</f>
        <v>0.14249999999999999</v>
      </c>
      <c r="C5" s="8" t="s">
        <v>280</v>
      </c>
      <c r="D5" s="9">
        <f>Analysis!B7</f>
        <v>4</v>
      </c>
      <c r="E5" s="8" t="s">
        <v>282</v>
      </c>
      <c r="F5" s="12">
        <f>Analysis!B8</f>
        <v>120</v>
      </c>
    </row>
    <row r="7" spans="1:8">
      <c r="D7" s="4"/>
    </row>
    <row r="8" spans="1:8">
      <c r="F8" s="4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2026-09-23T13:44:23Z</dcterms:created>
  <dcterms:modified xsi:type="dcterms:W3CDTF">2026-09-24T13:47:24Z</dcterms:modified>
  <cp:category/>
  <cp:contentStatus/>
</cp:coreProperties>
</file>